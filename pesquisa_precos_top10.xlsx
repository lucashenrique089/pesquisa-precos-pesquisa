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MARKETING 2026\E-COMMERCE\Controle de pedidos Ecommerce e estoque\Análise de concorrencia e-commerce\"/>
    </mc:Choice>
  </mc:AlternateContent>
  <xr:revisionPtr revIDLastSave="0" documentId="13_ncr:1_{C243AEAB-8F4D-4C9C-917F-21B848E1CEDB}" xr6:coauthVersionLast="47" xr6:coauthVersionMax="47" xr10:uidLastSave="{00000000-0000-0000-0000-000000000000}"/>
  <bookViews>
    <workbookView xWindow="20370" yWindow="-120" windowWidth="20730" windowHeight="11160" tabRatio="500" firstSheet="2" activeTab="5" xr2:uid="{00000000-000D-0000-FFFF-FFFF00000000}"/>
  </bookViews>
  <sheets>
    <sheet name="Premissas" sheetId="1" r:id="rId1"/>
    <sheet name="Politicas_Pagamento" sheetId="2" r:id="rId2"/>
    <sheet name="PneuStore" sheetId="3" r:id="rId3"/>
    <sheet name="HC_Pneus" sheetId="4" r:id="rId4"/>
    <sheet name="Achei_Pneus" sheetId="5" r:id="rId5"/>
    <sheet name="Base_Consolidada" sheetId="6" r:id="rId6"/>
  </sheets>
  <definedNames>
    <definedName name="_xlnm._FilterDatabase" localSheetId="5" hidden="1">Base_Consolidada!$A$1:$W$28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8" i="6" l="1"/>
  <c r="R28" i="6"/>
  <c r="Q28" i="6"/>
  <c r="J28" i="6"/>
  <c r="I28" i="6"/>
  <c r="U28" i="6" s="1"/>
  <c r="H28" i="6"/>
  <c r="T28" i="6" s="1"/>
  <c r="W28" i="6" s="1"/>
  <c r="S27" i="6"/>
  <c r="R27" i="6"/>
  <c r="Q27" i="6"/>
  <c r="J27" i="6"/>
  <c r="I27" i="6"/>
  <c r="U27" i="6" s="1"/>
  <c r="H27" i="6"/>
  <c r="T27" i="6" s="1"/>
  <c r="W27" i="6" s="1"/>
  <c r="S26" i="6"/>
  <c r="R26" i="6"/>
  <c r="Q26" i="6"/>
  <c r="J26" i="6"/>
  <c r="I26" i="6"/>
  <c r="K26" i="6" s="1"/>
  <c r="H26" i="6"/>
  <c r="T26" i="6" s="1"/>
  <c r="W26" i="6" s="1"/>
  <c r="S25" i="6"/>
  <c r="R25" i="6"/>
  <c r="Q25" i="6"/>
  <c r="J25" i="6"/>
  <c r="I25" i="6"/>
  <c r="U25" i="6" s="1"/>
  <c r="H25" i="6"/>
  <c r="T25" i="6" s="1"/>
  <c r="W25" i="6" s="1"/>
  <c r="S24" i="6"/>
  <c r="R24" i="6"/>
  <c r="Q24" i="6"/>
  <c r="J24" i="6"/>
  <c r="I24" i="6"/>
  <c r="U24" i="6" s="1"/>
  <c r="H24" i="6"/>
  <c r="T24" i="6" s="1"/>
  <c r="W24" i="6" s="1"/>
  <c r="S23" i="6"/>
  <c r="R23" i="6"/>
  <c r="Q23" i="6"/>
  <c r="J23" i="6"/>
  <c r="I23" i="6"/>
  <c r="U23" i="6" s="1"/>
  <c r="H23" i="6"/>
  <c r="T23" i="6" s="1"/>
  <c r="W23" i="6" s="1"/>
  <c r="S22" i="6"/>
  <c r="R22" i="6"/>
  <c r="Q22" i="6"/>
  <c r="J22" i="6"/>
  <c r="I22" i="6"/>
  <c r="H22" i="6"/>
  <c r="T22" i="6" s="1"/>
  <c r="W22" i="6" s="1"/>
  <c r="S21" i="6"/>
  <c r="R21" i="6"/>
  <c r="Q21" i="6"/>
  <c r="J21" i="6"/>
  <c r="I21" i="6"/>
  <c r="U21" i="6" s="1"/>
  <c r="H21" i="6"/>
  <c r="T21" i="6" s="1"/>
  <c r="W21" i="6" s="1"/>
  <c r="S20" i="6"/>
  <c r="R20" i="6"/>
  <c r="Q20" i="6"/>
  <c r="J20" i="6"/>
  <c r="I20" i="6"/>
  <c r="U20" i="6" s="1"/>
  <c r="H20" i="6"/>
  <c r="T20" i="6" s="1"/>
  <c r="W20" i="6" s="1"/>
  <c r="S19" i="6"/>
  <c r="R19" i="6"/>
  <c r="Q19" i="6"/>
  <c r="J19" i="6"/>
  <c r="K19" i="6" s="1"/>
  <c r="I19" i="6"/>
  <c r="U19" i="6" s="1"/>
  <c r="H19" i="6"/>
  <c r="T19" i="6" s="1"/>
  <c r="W19" i="6" s="1"/>
  <c r="S18" i="6"/>
  <c r="R18" i="6"/>
  <c r="Q18" i="6"/>
  <c r="J18" i="6"/>
  <c r="I18" i="6"/>
  <c r="U18" i="6" s="1"/>
  <c r="H18" i="6"/>
  <c r="T18" i="6" s="1"/>
  <c r="W18" i="6" s="1"/>
  <c r="S17" i="6"/>
  <c r="R17" i="6"/>
  <c r="Q17" i="6"/>
  <c r="J17" i="6"/>
  <c r="I17" i="6"/>
  <c r="H17" i="6"/>
  <c r="T17" i="6" s="1"/>
  <c r="W17" i="6" s="1"/>
  <c r="S16" i="6"/>
  <c r="R16" i="6"/>
  <c r="Q16" i="6"/>
  <c r="J16" i="6"/>
  <c r="I16" i="6"/>
  <c r="U16" i="6" s="1"/>
  <c r="H16" i="6"/>
  <c r="T16" i="6" s="1"/>
  <c r="W16" i="6" s="1"/>
  <c r="S15" i="6"/>
  <c r="R15" i="6"/>
  <c r="Q15" i="6"/>
  <c r="J15" i="6"/>
  <c r="I15" i="6"/>
  <c r="U15" i="6" s="1"/>
  <c r="H15" i="6"/>
  <c r="T15" i="6" s="1"/>
  <c r="W15" i="6" s="1"/>
  <c r="S14" i="6"/>
  <c r="R14" i="6"/>
  <c r="Q14" i="6"/>
  <c r="J14" i="6"/>
  <c r="I14" i="6"/>
  <c r="U14" i="6" s="1"/>
  <c r="H14" i="6"/>
  <c r="T14" i="6" s="1"/>
  <c r="W14" i="6" s="1"/>
  <c r="S13" i="6"/>
  <c r="R13" i="6"/>
  <c r="Q13" i="6"/>
  <c r="J13" i="6"/>
  <c r="I13" i="6"/>
  <c r="U13" i="6" s="1"/>
  <c r="H13" i="6"/>
  <c r="T13" i="6" s="1"/>
  <c r="W13" i="6" s="1"/>
  <c r="S12" i="6"/>
  <c r="R12" i="6"/>
  <c r="Q12" i="6"/>
  <c r="J12" i="6"/>
  <c r="I12" i="6"/>
  <c r="U12" i="6" s="1"/>
  <c r="H12" i="6"/>
  <c r="T12" i="6" s="1"/>
  <c r="W12" i="6" s="1"/>
  <c r="S11" i="6"/>
  <c r="R11" i="6"/>
  <c r="Q11" i="6"/>
  <c r="J11" i="6"/>
  <c r="I11" i="6"/>
  <c r="U11" i="6" s="1"/>
  <c r="H11" i="6"/>
  <c r="T11" i="6" s="1"/>
  <c r="W11" i="6" s="1"/>
  <c r="S10" i="6"/>
  <c r="R10" i="6"/>
  <c r="Q10" i="6"/>
  <c r="J10" i="6"/>
  <c r="I10" i="6"/>
  <c r="U10" i="6" s="1"/>
  <c r="H10" i="6"/>
  <c r="T10" i="6" s="1"/>
  <c r="W10" i="6" s="1"/>
  <c r="S9" i="6"/>
  <c r="R9" i="6"/>
  <c r="Q9" i="6"/>
  <c r="J9" i="6"/>
  <c r="I9" i="6"/>
  <c r="U9" i="6" s="1"/>
  <c r="H9" i="6"/>
  <c r="T9" i="6" s="1"/>
  <c r="W9" i="6" s="1"/>
  <c r="S8" i="6"/>
  <c r="R8" i="6"/>
  <c r="Q8" i="6"/>
  <c r="J8" i="6"/>
  <c r="I8" i="6"/>
  <c r="U8" i="6" s="1"/>
  <c r="H8" i="6"/>
  <c r="T8" i="6" s="1"/>
  <c r="W8" i="6" s="1"/>
  <c r="S7" i="6"/>
  <c r="R7" i="6"/>
  <c r="Q7" i="6"/>
  <c r="J7" i="6"/>
  <c r="I7" i="6"/>
  <c r="U7" i="6" s="1"/>
  <c r="H7" i="6"/>
  <c r="T7" i="6" s="1"/>
  <c r="W7" i="6" s="1"/>
  <c r="S6" i="6"/>
  <c r="R6" i="6"/>
  <c r="Q6" i="6"/>
  <c r="J6" i="6"/>
  <c r="I6" i="6"/>
  <c r="U6" i="6" s="1"/>
  <c r="H6" i="6"/>
  <c r="T6" i="6" s="1"/>
  <c r="W6" i="6" s="1"/>
  <c r="S5" i="6"/>
  <c r="R5" i="6"/>
  <c r="Q5" i="6"/>
  <c r="J5" i="6"/>
  <c r="I5" i="6"/>
  <c r="U5" i="6" s="1"/>
  <c r="H5" i="6"/>
  <c r="T5" i="6" s="1"/>
  <c r="W5" i="6" s="1"/>
  <c r="S4" i="6"/>
  <c r="R4" i="6"/>
  <c r="Q4" i="6"/>
  <c r="J4" i="6"/>
  <c r="I4" i="6"/>
  <c r="H4" i="6"/>
  <c r="T4" i="6" s="1"/>
  <c r="W4" i="6" s="1"/>
  <c r="S3" i="6"/>
  <c r="R3" i="6"/>
  <c r="Q3" i="6"/>
  <c r="J3" i="6"/>
  <c r="I3" i="6"/>
  <c r="U3" i="6" s="1"/>
  <c r="H3" i="6"/>
  <c r="T3" i="6" s="1"/>
  <c r="W3" i="6" s="1"/>
  <c r="S2" i="6"/>
  <c r="R2" i="6"/>
  <c r="Q2" i="6"/>
  <c r="J2" i="6"/>
  <c r="I2" i="6"/>
  <c r="K2" i="6" s="1"/>
  <c r="H2" i="6"/>
  <c r="T2" i="6" s="1"/>
  <c r="W2" i="6" s="1"/>
  <c r="S10" i="5"/>
  <c r="R10" i="5"/>
  <c r="Q10" i="5"/>
  <c r="J10" i="5"/>
  <c r="I10" i="5"/>
  <c r="U10" i="5" s="1"/>
  <c r="H10" i="5"/>
  <c r="T10" i="5" s="1"/>
  <c r="W10" i="5" s="1"/>
  <c r="S9" i="5"/>
  <c r="R9" i="5"/>
  <c r="Q9" i="5"/>
  <c r="J9" i="5"/>
  <c r="I9" i="5"/>
  <c r="U9" i="5" s="1"/>
  <c r="H9" i="5"/>
  <c r="T9" i="5" s="1"/>
  <c r="W9" i="5" s="1"/>
  <c r="U8" i="5"/>
  <c r="S8" i="5"/>
  <c r="R8" i="5"/>
  <c r="Q8" i="5"/>
  <c r="J8" i="5"/>
  <c r="I8" i="5"/>
  <c r="H8" i="5"/>
  <c r="T8" i="5" s="1"/>
  <c r="W8" i="5" s="1"/>
  <c r="T7" i="5"/>
  <c r="W7" i="5" s="1"/>
  <c r="S7" i="5"/>
  <c r="R7" i="5"/>
  <c r="Q7" i="5"/>
  <c r="K7" i="5"/>
  <c r="V7" i="5" s="1"/>
  <c r="J7" i="5"/>
  <c r="I7" i="5"/>
  <c r="U7" i="5" s="1"/>
  <c r="H7" i="5"/>
  <c r="S6" i="5"/>
  <c r="R6" i="5"/>
  <c r="Q6" i="5"/>
  <c r="J6" i="5"/>
  <c r="I6" i="5"/>
  <c r="U6" i="5" s="1"/>
  <c r="H6" i="5"/>
  <c r="T6" i="5" s="1"/>
  <c r="W6" i="5" s="1"/>
  <c r="S5" i="5"/>
  <c r="R5" i="5"/>
  <c r="Q5" i="5"/>
  <c r="J5" i="5"/>
  <c r="I5" i="5"/>
  <c r="U5" i="5" s="1"/>
  <c r="H5" i="5"/>
  <c r="T5" i="5" s="1"/>
  <c r="W5" i="5" s="1"/>
  <c r="U4" i="5"/>
  <c r="S4" i="5"/>
  <c r="R4" i="5"/>
  <c r="Q4" i="5"/>
  <c r="J4" i="5"/>
  <c r="I4" i="5"/>
  <c r="H4" i="5"/>
  <c r="T4" i="5" s="1"/>
  <c r="W4" i="5" s="1"/>
  <c r="T3" i="5"/>
  <c r="W3" i="5" s="1"/>
  <c r="S3" i="5"/>
  <c r="R3" i="5"/>
  <c r="Q3" i="5"/>
  <c r="J3" i="5"/>
  <c r="I3" i="5"/>
  <c r="U3" i="5" s="1"/>
  <c r="H3" i="5"/>
  <c r="S2" i="5"/>
  <c r="R2" i="5"/>
  <c r="Q2" i="5"/>
  <c r="J2" i="5"/>
  <c r="I2" i="5"/>
  <c r="U2" i="5" s="1"/>
  <c r="H2" i="5"/>
  <c r="T2" i="5" s="1"/>
  <c r="W2" i="5" s="1"/>
  <c r="S10" i="4"/>
  <c r="R10" i="4"/>
  <c r="Q10" i="4"/>
  <c r="J10" i="4"/>
  <c r="I10" i="4"/>
  <c r="H10" i="4"/>
  <c r="T10" i="4" s="1"/>
  <c r="W10" i="4" s="1"/>
  <c r="S9" i="4"/>
  <c r="R9" i="4"/>
  <c r="Q9" i="4"/>
  <c r="J9" i="4"/>
  <c r="I9" i="4"/>
  <c r="U9" i="4" s="1"/>
  <c r="H9" i="4"/>
  <c r="T9" i="4" s="1"/>
  <c r="W9" i="4" s="1"/>
  <c r="S8" i="4"/>
  <c r="R8" i="4"/>
  <c r="Q8" i="4"/>
  <c r="J8" i="4"/>
  <c r="I8" i="4"/>
  <c r="U8" i="4" s="1"/>
  <c r="H8" i="4"/>
  <c r="T8" i="4" s="1"/>
  <c r="W8" i="4" s="1"/>
  <c r="S7" i="4"/>
  <c r="R7" i="4"/>
  <c r="Q7" i="4"/>
  <c r="J7" i="4"/>
  <c r="I7" i="4"/>
  <c r="U7" i="4" s="1"/>
  <c r="H7" i="4"/>
  <c r="T7" i="4" s="1"/>
  <c r="W7" i="4" s="1"/>
  <c r="S6" i="4"/>
  <c r="R6" i="4"/>
  <c r="Q6" i="4"/>
  <c r="J6" i="4"/>
  <c r="I6" i="4"/>
  <c r="U6" i="4" s="1"/>
  <c r="H6" i="4"/>
  <c r="T6" i="4" s="1"/>
  <c r="W6" i="4" s="1"/>
  <c r="S5" i="4"/>
  <c r="R5" i="4"/>
  <c r="Q5" i="4"/>
  <c r="J5" i="4"/>
  <c r="I5" i="4"/>
  <c r="U5" i="4" s="1"/>
  <c r="H5" i="4"/>
  <c r="T5" i="4" s="1"/>
  <c r="W5" i="4" s="1"/>
  <c r="S4" i="4"/>
  <c r="R4" i="4"/>
  <c r="Q4" i="4"/>
  <c r="J4" i="4"/>
  <c r="I4" i="4"/>
  <c r="U4" i="4" s="1"/>
  <c r="H4" i="4"/>
  <c r="T4" i="4" s="1"/>
  <c r="W4" i="4" s="1"/>
  <c r="S3" i="4"/>
  <c r="R3" i="4"/>
  <c r="Q3" i="4"/>
  <c r="J3" i="4"/>
  <c r="I3" i="4"/>
  <c r="U3" i="4" s="1"/>
  <c r="H3" i="4"/>
  <c r="T3" i="4" s="1"/>
  <c r="W3" i="4" s="1"/>
  <c r="S2" i="4"/>
  <c r="R2" i="4"/>
  <c r="Q2" i="4"/>
  <c r="J2" i="4"/>
  <c r="I2" i="4"/>
  <c r="H2" i="4"/>
  <c r="T2" i="4" s="1"/>
  <c r="W2" i="4" s="1"/>
  <c r="S10" i="3"/>
  <c r="R10" i="3"/>
  <c r="Q10" i="3"/>
  <c r="J10" i="3"/>
  <c r="I10" i="3"/>
  <c r="U10" i="3" s="1"/>
  <c r="H10" i="3"/>
  <c r="T10" i="3" s="1"/>
  <c r="W10" i="3" s="1"/>
  <c r="S9" i="3"/>
  <c r="R9" i="3"/>
  <c r="Q9" i="3"/>
  <c r="J9" i="3"/>
  <c r="I9" i="3"/>
  <c r="U9" i="3" s="1"/>
  <c r="H9" i="3"/>
  <c r="T9" i="3" s="1"/>
  <c r="W9" i="3" s="1"/>
  <c r="S8" i="3"/>
  <c r="R8" i="3"/>
  <c r="Q8" i="3"/>
  <c r="J8" i="3"/>
  <c r="I8" i="3"/>
  <c r="K8" i="3" s="1"/>
  <c r="V8" i="3" s="1"/>
  <c r="H8" i="3"/>
  <c r="T8" i="3" s="1"/>
  <c r="W8" i="3" s="1"/>
  <c r="S7" i="3"/>
  <c r="R7" i="3"/>
  <c r="Q7" i="3"/>
  <c r="J7" i="3"/>
  <c r="I7" i="3"/>
  <c r="U7" i="3" s="1"/>
  <c r="H7" i="3"/>
  <c r="T7" i="3" s="1"/>
  <c r="W7" i="3" s="1"/>
  <c r="T6" i="3"/>
  <c r="W6" i="3" s="1"/>
  <c r="S6" i="3"/>
  <c r="R6" i="3"/>
  <c r="Q6" i="3"/>
  <c r="J6" i="3"/>
  <c r="I6" i="3"/>
  <c r="U6" i="3" s="1"/>
  <c r="H6" i="3"/>
  <c r="S5" i="3"/>
  <c r="R5" i="3"/>
  <c r="Q5" i="3"/>
  <c r="J5" i="3"/>
  <c r="I5" i="3"/>
  <c r="U5" i="3" s="1"/>
  <c r="H5" i="3"/>
  <c r="T5" i="3" s="1"/>
  <c r="W5" i="3" s="1"/>
  <c r="U4" i="3"/>
  <c r="S4" i="3"/>
  <c r="R4" i="3"/>
  <c r="Q4" i="3"/>
  <c r="J4" i="3"/>
  <c r="I4" i="3"/>
  <c r="H4" i="3"/>
  <c r="T4" i="3" s="1"/>
  <c r="W4" i="3" s="1"/>
  <c r="U3" i="3"/>
  <c r="S3" i="3"/>
  <c r="R3" i="3"/>
  <c r="Q3" i="3"/>
  <c r="J3" i="3"/>
  <c r="K3" i="3" s="1"/>
  <c r="I3" i="3"/>
  <c r="H3" i="3"/>
  <c r="T3" i="3" s="1"/>
  <c r="W3" i="3" s="1"/>
  <c r="S2" i="3"/>
  <c r="R2" i="3"/>
  <c r="Q2" i="3"/>
  <c r="J2" i="3"/>
  <c r="I2" i="3"/>
  <c r="U2" i="3" s="1"/>
  <c r="H2" i="3"/>
  <c r="T2" i="3" s="1"/>
  <c r="W2" i="3" s="1"/>
  <c r="C2" i="2"/>
  <c r="B2" i="2"/>
  <c r="K11" i="6" l="1"/>
  <c r="V11" i="6" s="1"/>
  <c r="K9" i="6"/>
  <c r="V9" i="6" s="1"/>
  <c r="K17" i="6"/>
  <c r="V17" i="6" s="1"/>
  <c r="K20" i="6"/>
  <c r="K27" i="6"/>
  <c r="V27" i="6" s="1"/>
  <c r="V2" i="6"/>
  <c r="K12" i="6"/>
  <c r="V12" i="6" s="1"/>
  <c r="K15" i="6"/>
  <c r="V15" i="6" s="1"/>
  <c r="U2" i="6"/>
  <c r="K4" i="6"/>
  <c r="V4" i="6" s="1"/>
  <c r="K5" i="6"/>
  <c r="V5" i="6" s="1"/>
  <c r="K8" i="6"/>
  <c r="V8" i="6" s="1"/>
  <c r="K16" i="6"/>
  <c r="V16" i="6" s="1"/>
  <c r="U17" i="6"/>
  <c r="K23" i="6"/>
  <c r="V23" i="6" s="1"/>
  <c r="K28" i="6"/>
  <c r="V28" i="6" s="1"/>
  <c r="K10" i="6"/>
  <c r="V10" i="6" s="1"/>
  <c r="K13" i="6"/>
  <c r="V13" i="6" s="1"/>
  <c r="V19" i="6"/>
  <c r="K24" i="6"/>
  <c r="V24" i="6" s="1"/>
  <c r="V26" i="6"/>
  <c r="K6" i="6"/>
  <c r="V6" i="6" s="1"/>
  <c r="V20" i="6"/>
  <c r="K22" i="6"/>
  <c r="V22" i="6" s="1"/>
  <c r="K6" i="3"/>
  <c r="V6" i="3" s="1"/>
  <c r="K2" i="4"/>
  <c r="V2" i="4" s="1"/>
  <c r="K5" i="4"/>
  <c r="V5" i="4" s="1"/>
  <c r="K10" i="4"/>
  <c r="V10" i="4" s="1"/>
  <c r="K2" i="5"/>
  <c r="V2" i="5" s="1"/>
  <c r="K4" i="5"/>
  <c r="V4" i="5" s="1"/>
  <c r="K10" i="5"/>
  <c r="V10" i="5" s="1"/>
  <c r="K3" i="5"/>
  <c r="V3" i="5" s="1"/>
  <c r="K6" i="5"/>
  <c r="V6" i="5" s="1"/>
  <c r="K8" i="5"/>
  <c r="V8" i="5" s="1"/>
  <c r="K7" i="3"/>
  <c r="V7" i="3" s="1"/>
  <c r="U8" i="3"/>
  <c r="K2" i="3"/>
  <c r="V2" i="3" s="1"/>
  <c r="K4" i="3"/>
  <c r="V4" i="3" s="1"/>
  <c r="K10" i="3"/>
  <c r="V10" i="3" s="1"/>
  <c r="V3" i="3"/>
  <c r="U2" i="4"/>
  <c r="K9" i="4"/>
  <c r="V9" i="4" s="1"/>
  <c r="U10" i="4"/>
  <c r="K8" i="4"/>
  <c r="V8" i="4" s="1"/>
  <c r="K4" i="4"/>
  <c r="V4" i="4" s="1"/>
  <c r="K6" i="4"/>
  <c r="V6" i="4" s="1"/>
  <c r="K5" i="3"/>
  <c r="V5" i="3" s="1"/>
  <c r="K9" i="3"/>
  <c r="V9" i="3" s="1"/>
  <c r="K3" i="4"/>
  <c r="V3" i="4" s="1"/>
  <c r="K7" i="4"/>
  <c r="V7" i="4" s="1"/>
  <c r="K5" i="5"/>
  <c r="V5" i="5" s="1"/>
  <c r="K9" i="5"/>
  <c r="V9" i="5" s="1"/>
  <c r="K3" i="6"/>
  <c r="V3" i="6" s="1"/>
  <c r="U4" i="6"/>
  <c r="K7" i="6"/>
  <c r="V7" i="6" s="1"/>
  <c r="K14" i="6"/>
  <c r="V14" i="6" s="1"/>
  <c r="K18" i="6"/>
  <c r="V18" i="6" s="1"/>
  <c r="K21" i="6"/>
  <c r="V21" i="6" s="1"/>
  <c r="U22" i="6"/>
  <c r="K25" i="6"/>
  <c r="V25" i="6" s="1"/>
  <c r="U26" i="6"/>
</calcChain>
</file>

<file path=xl/sharedStrings.xml><?xml version="1.0" encoding="utf-8"?>
<sst xmlns="http://schemas.openxmlformats.org/spreadsheetml/2006/main" count="398" uniqueCount="93">
  <si>
    <t>Premissa</t>
  </si>
  <si>
    <t>Valor</t>
  </si>
  <si>
    <t>Observação</t>
  </si>
  <si>
    <t>desconto_pix_roma</t>
  </si>
  <si>
    <t>Informado pelo Lucas: 6% de desconto no PIX</t>
  </si>
  <si>
    <t>parcelas_roma</t>
  </si>
  <si>
    <t>Informado pelo Lucas: até 6x sem juros</t>
  </si>
  <si>
    <t>limite_classificacao</t>
  </si>
  <si>
    <t>Acima de +5% = Caro; abaixo de -5% = Competitivo; entre = Na média</t>
  </si>
  <si>
    <t>data_base</t>
  </si>
  <si>
    <t>2026-09-23</t>
  </si>
  <si>
    <t>preço cheio = preço "de" (riscado) ou, sem riscado, o total parcelado. Cinza = sem dado</t>
  </si>
  <si>
    <t>desconto_parcelado_roma</t>
  </si>
  <si>
    <t>Informado pelo Lucas: o desconto de 6% vale em qualquer forma de pagamento, inclusive parcelado em 6x</t>
  </si>
  <si>
    <t>loja</t>
  </si>
  <si>
    <t>desconto_pix</t>
  </si>
  <si>
    <t>parcelas_sem_juros</t>
  </si>
  <si>
    <t>observacao</t>
  </si>
  <si>
    <t>Roma</t>
  </si>
  <si>
    <t>6% de desconto em qualquer forma de pagamento (PIX ou 6x sem juros)</t>
  </si>
  <si>
    <t>PneuStore</t>
  </si>
  <si>
    <t>10% OFF no PIX (real varia por item); parcelado = preço cheio</t>
  </si>
  <si>
    <t>HC Pneus</t>
  </si>
  <si>
    <t>Promoção de 20% OFF sobre o preço riscado; 3% extra à vista</t>
  </si>
  <si>
    <t>Achei Pneus</t>
  </si>
  <si>
    <t>12% no PIX; parcelado = preço cheio</t>
  </si>
  <si>
    <t>item</t>
  </si>
  <si>
    <t>medida</t>
  </si>
  <si>
    <t>modelo</t>
  </si>
  <si>
    <t>sku_roma</t>
  </si>
  <si>
    <t>data_coleta</t>
  </si>
  <si>
    <t>concorrente</t>
  </si>
  <si>
    <t>roma_preco_cheio</t>
  </si>
  <si>
    <t>roma_preco_pix</t>
  </si>
  <si>
    <t>roma_preco_parcelado</t>
  </si>
  <si>
    <t>roma_n_parcelas</t>
  </si>
  <si>
    <t>roma_valor_parcela</t>
  </si>
  <si>
    <t>nome_anuncio_concorrente</t>
  </si>
  <si>
    <t>conc_preco_cheio</t>
  </si>
  <si>
    <t>conc_preco_pix</t>
  </si>
  <si>
    <t>conc_preco_parcelado</t>
  </si>
  <si>
    <t>conc_n_parcelas</t>
  </si>
  <si>
    <t>conc_valor_parcela</t>
  </si>
  <si>
    <t>conc_desconto_pix_pct</t>
  </si>
  <si>
    <t>conc_desconto_parcelado_pct</t>
  </si>
  <si>
    <t>dif_pix_pct</t>
  </si>
  <si>
    <t>dif_parcelado_pct</t>
  </si>
  <si>
    <t>dif_parcela_pct</t>
  </si>
  <si>
    <t>classificacao_pix</t>
  </si>
  <si>
    <t>link</t>
  </si>
  <si>
    <t>175/65R14</t>
  </si>
  <si>
    <t>Kelly Edge Touring 2</t>
  </si>
  <si>
    <t>Pneu Kelly by Goodyear Aro 14 Edge Touring 2 175/65R14 86H XL</t>
  </si>
  <si>
    <t>185/60R15</t>
  </si>
  <si>
    <t>Edge Sport 2</t>
  </si>
  <si>
    <t>Pneu Kelly by Goodyear Aro 15 Edge Sport 2 185/60R15 88H XL</t>
  </si>
  <si>
    <t>205/65R16</t>
  </si>
  <si>
    <t>EfficientGrip SUV</t>
  </si>
  <si>
    <t>Pneu Goodyear Aro 16 EfficientGrip SUV 205/65R16 95H</t>
  </si>
  <si>
    <t>Assurance Maxlife</t>
  </si>
  <si>
    <t>Pneu Goodyear Aro 14 Assurance Maxlife 175/65R14 86H XL</t>
  </si>
  <si>
    <t>175/70R13</t>
  </si>
  <si>
    <t>Edge Touring 2</t>
  </si>
  <si>
    <t>Pneu Kelly By Goodyear Aro 13 Edge Touring 2 175/70R13 82T</t>
  </si>
  <si>
    <t>185/65R15</t>
  </si>
  <si>
    <t>Pneu Kelly by Goodyear Aro 15 Edge Sport 2 185/65R15 88H</t>
  </si>
  <si>
    <t>225/75R16C</t>
  </si>
  <si>
    <t>Cargo Marathon 2</t>
  </si>
  <si>
    <t>Pneu Goodyear Aro 16 Cargo Marathon 2 225/75R16C 118/116R 10 Lonas</t>
  </si>
  <si>
    <t>215/55R17</t>
  </si>
  <si>
    <t>Pneu Goodyear Aro 17 EfficientGrip SUV 215/55R17 94V</t>
  </si>
  <si>
    <t>Eagle Sport 2</t>
  </si>
  <si>
    <t>Pneu Goodyear Aro 15 Eagle Sport 2 185/65R15 88H</t>
  </si>
  <si>
    <t>Pneu 175/65R14 86H Goodyear Kelly Edge Touring 2</t>
  </si>
  <si>
    <t>Pneu 185/60R15 88H Goodyear Kelly Edge Sport 2</t>
  </si>
  <si>
    <t>print Lucas 23/09</t>
  </si>
  <si>
    <t>Pneu 205/65R16 95H Goodyear EfficientGrip SUV</t>
  </si>
  <si>
    <t>Pneu 175/65R14 86H Goodyear Assurance MaxLife</t>
  </si>
  <si>
    <t>Pneu 175/70R13 82T Goodyear Kelly Edge Touring 2</t>
  </si>
  <si>
    <t>Pneu 185/65R15 88H Goodyear Kelly Edge Sport 2</t>
  </si>
  <si>
    <t>Pneu 225/75R16C 118/116R Goodyear Cargo Marathon 2</t>
  </si>
  <si>
    <t>Pneu 215/55R17 94V Goodyear EfficientGrip SUV</t>
  </si>
  <si>
    <t>Pneu 185/65R15 88H Goodyear Eagle Sport 2</t>
  </si>
  <si>
    <t>PNEU 175/65R14 GOODYEAR KELLY EDGE TOURING 2 86H</t>
  </si>
  <si>
    <t>PNEU 185/60R15 GOODYEAR KELLY EDGE SPORT 2 88H</t>
  </si>
  <si>
    <t>PNEU 205/65R16 GOODYEAR EFFICIENTGRIP SUV 95H</t>
  </si>
  <si>
    <t>PNEU 175/65R14 GOODYEAR ASSURANCE MAXLIFE 86H</t>
  </si>
  <si>
    <t>PNEU 175/70R13 GOODYEAR KELLY EDGE TOURING 2 82T</t>
  </si>
  <si>
    <t>https://www.acheipneus.com.br/pneu-17570r13-goodyear-kelly-edge-touring-2-82t</t>
  </si>
  <si>
    <t>PNEU 185/65R15 GOODYEAR KELLY EDGE SPORT 2 88H</t>
  </si>
  <si>
    <t>PNEU 225/75R16C GOODYEAR CARGO MARATHON 2 118/116R</t>
  </si>
  <si>
    <t>PNEU 215/55R17 GOODYEAR EFFICIENTGRIP SUV 94V</t>
  </si>
  <si>
    <t>PNEU 185/65R15 GOODYEAR EAGLE SPORT 2 88H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</si>
</sst>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164" fontId="3" fillId="3" borderId="0" xfId="0" applyNumberFormat="1" applyFont="1" applyFill="1"/>
    <xf numFmtId="0" fontId="3" fillId="3" borderId="0" xfId="0" applyFont="1" applyFill="1"/>
    <xf numFmtId="164" fontId="2" fillId="0" borderId="0" xfId="0" applyNumberFormat="1" applyFont="1"/>
    <xf numFmtId="0" fontId="1" fillId="2" borderId="0" xfId="0" applyFont="1" applyFill="1" applyAlignment="1">
      <alignment horizontal="center" wrapText="1"/>
    </xf>
    <xf numFmtId="4" fontId="3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2" fillId="0" borderId="1" xfId="0" applyFont="1" applyBorder="1"/>
    <xf numFmtId="4" fontId="3" fillId="0" borderId="1" xfId="0" applyNumberFormat="1" applyFont="1" applyBorder="1"/>
    <xf numFmtId="4" fontId="2" fillId="0" borderId="1" xfId="0" applyNumberFormat="1" applyFont="1" applyBorder="1"/>
    <xf numFmtId="0" fontId="3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100" workbookViewId="0"/>
  </sheetViews>
  <sheetFormatPr defaultColWidth="8.7109375" defaultRowHeight="15" x14ac:dyDescent="0.25"/>
  <cols>
    <col min="1" max="1" width="22" customWidth="1"/>
    <col min="3" max="3" width="1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0.06</v>
      </c>
      <c r="C2" s="2" t="s">
        <v>4</v>
      </c>
    </row>
    <row r="3" spans="1:3" x14ac:dyDescent="0.25">
      <c r="A3" s="2" t="s">
        <v>5</v>
      </c>
      <c r="B3" s="4">
        <v>6</v>
      </c>
      <c r="C3" s="2" t="s">
        <v>6</v>
      </c>
    </row>
    <row r="4" spans="1:3" x14ac:dyDescent="0.25">
      <c r="A4" s="2" t="s">
        <v>7</v>
      </c>
      <c r="B4" s="3">
        <v>0.05</v>
      </c>
      <c r="C4" s="2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2" t="s">
        <v>12</v>
      </c>
      <c r="B6" s="3">
        <v>0.06</v>
      </c>
      <c r="C6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Normal="100" workbookViewId="0"/>
  </sheetViews>
  <sheetFormatPr defaultColWidth="8.7109375" defaultRowHeight="15" x14ac:dyDescent="0.25"/>
  <cols>
    <col min="1" max="2" width="14" customWidth="1"/>
    <col min="3" max="3" width="20" customWidth="1"/>
    <col min="4" max="4" width="70" customWidth="1"/>
  </cols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s="2" t="s">
        <v>18</v>
      </c>
      <c r="B2" s="5">
        <f>Premissas!B2</f>
        <v>0.06</v>
      </c>
      <c r="C2" s="2">
        <f>Premissas!B3</f>
        <v>6</v>
      </c>
      <c r="D2" s="2" t="s">
        <v>19</v>
      </c>
    </row>
    <row r="3" spans="1:4" x14ac:dyDescent="0.25">
      <c r="A3" s="2" t="s">
        <v>20</v>
      </c>
      <c r="B3" s="5">
        <v>0.1</v>
      </c>
      <c r="C3" s="2">
        <v>10</v>
      </c>
      <c r="D3" s="2" t="s">
        <v>21</v>
      </c>
    </row>
    <row r="4" spans="1:4" x14ac:dyDescent="0.25">
      <c r="A4" s="2" t="s">
        <v>22</v>
      </c>
      <c r="B4" s="5">
        <v>0.03</v>
      </c>
      <c r="C4" s="2">
        <v>6</v>
      </c>
      <c r="D4" s="2" t="s">
        <v>23</v>
      </c>
    </row>
    <row r="5" spans="1:4" x14ac:dyDescent="0.25">
      <c r="A5" s="2" t="s">
        <v>24</v>
      </c>
      <c r="B5" s="5">
        <v>0.12</v>
      </c>
      <c r="C5" s="2">
        <v>12</v>
      </c>
      <c r="D5" s="2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"/>
  <sheetViews>
    <sheetView zoomScaleNormal="100" workbookViewId="0">
      <pane xSplit="3" ySplit="1" topLeftCell="S2" activePane="bottomRight" state="frozen"/>
      <selection pane="topRight" activeCell="D1" sqref="D1"/>
      <selection pane="bottomLeft" activeCell="A2" sqref="A2"/>
      <selection pane="bottomRight" activeCell="X1" sqref="X1:X1048576"/>
    </sheetView>
  </sheetViews>
  <sheetFormatPr defaultColWidth="8.7109375" defaultRowHeight="15" x14ac:dyDescent="0.25"/>
  <cols>
    <col min="1" max="1" width="6" customWidth="1"/>
    <col min="2" max="2" width="11" customWidth="1"/>
    <col min="3" max="3" width="22" customWidth="1"/>
    <col min="4" max="4" width="10" customWidth="1"/>
    <col min="5" max="5" width="12" customWidth="1"/>
    <col min="6" max="6" width="13" customWidth="1"/>
    <col min="7" max="7" width="15" customWidth="1"/>
    <col min="8" max="8" width="14" customWidth="1"/>
    <col min="9" max="9" width="17" customWidth="1"/>
    <col min="10" max="10" width="14" customWidth="1"/>
    <col min="11" max="11" width="16" customWidth="1"/>
    <col min="12" max="12" width="50" customWidth="1"/>
    <col min="13" max="13" width="15" customWidth="1"/>
    <col min="14" max="14" width="14" customWidth="1"/>
    <col min="15" max="15" width="17" customWidth="1"/>
    <col min="16" max="16" width="14" customWidth="1"/>
    <col min="17" max="17" width="16" customWidth="1"/>
    <col min="18" max="18" width="18" customWidth="1"/>
    <col min="19" max="19" width="22" customWidth="1"/>
    <col min="20" max="20" width="11" customWidth="1"/>
    <col min="21" max="21" width="15" customWidth="1"/>
    <col min="22" max="22" width="14" customWidth="1"/>
    <col min="23" max="23" width="16" customWidth="1"/>
  </cols>
  <sheetData>
    <row r="1" spans="1:23" ht="26.25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  <c r="W1" s="6" t="s">
        <v>48</v>
      </c>
    </row>
    <row r="2" spans="1:23" x14ac:dyDescent="0.25">
      <c r="A2" s="10">
        <v>1</v>
      </c>
      <c r="B2" s="10" t="s">
        <v>50</v>
      </c>
      <c r="C2" s="10" t="s">
        <v>51</v>
      </c>
      <c r="D2" s="10">
        <v>924096</v>
      </c>
      <c r="E2" s="10" t="s">
        <v>10</v>
      </c>
      <c r="F2" s="10" t="s">
        <v>20</v>
      </c>
      <c r="G2" s="11">
        <v>306.81</v>
      </c>
      <c r="H2" s="12">
        <f>ROUND(G2*(1-Premissas!$B$2),2)</f>
        <v>288.39999999999998</v>
      </c>
      <c r="I2" s="12">
        <f>ROUND(G2*(1-Premissas!$B$6),2)</f>
        <v>288.39999999999998</v>
      </c>
      <c r="J2" s="10">
        <f>Premissas!$B$3</f>
        <v>6</v>
      </c>
      <c r="K2" s="12">
        <f t="shared" ref="K2:K10" si="0">ROUND(I2/J2,2)</f>
        <v>48.07</v>
      </c>
      <c r="L2" s="10" t="s">
        <v>52</v>
      </c>
      <c r="M2" s="11">
        <v>355.45</v>
      </c>
      <c r="N2" s="11">
        <v>319.89999999999998</v>
      </c>
      <c r="O2" s="11">
        <v>355.45</v>
      </c>
      <c r="P2" s="13">
        <v>10</v>
      </c>
      <c r="Q2" s="12">
        <f t="shared" ref="Q2:Q10" si="1">IF(N2="","",ROUND(O2/P2,2))</f>
        <v>35.549999999999997</v>
      </c>
      <c r="R2" s="14">
        <f t="shared" ref="R2:R10" si="2">IF(N2="","",1-N2/M2)</f>
        <v>0.10001406667604451</v>
      </c>
      <c r="S2" s="14">
        <f t="shared" ref="S2:S10" si="3">IF(N2="","",1-O2/M2)</f>
        <v>0</v>
      </c>
      <c r="T2" s="14">
        <f t="shared" ref="T2:T10" si="4">IF(N2="","",H2/N2-1)</f>
        <v>-9.8468271334792079E-2</v>
      </c>
      <c r="U2" s="14">
        <f t="shared" ref="U2:U10" si="5">IF(N2="","",I2/O2-1)</f>
        <v>-0.18863412575608385</v>
      </c>
      <c r="V2" s="14">
        <f t="shared" ref="V2:V10" si="6">IF(N2="","",K2/Q2-1)</f>
        <v>0.35218002812939542</v>
      </c>
      <c r="W2" s="10" t="str">
        <f>IF(T2="","Sem dado",IF(T2&gt;Premissas!$B$4,"Caro",IF(T2&lt;-Premissas!$B$4,"Competitivo","Na média")))</f>
        <v>Competitivo</v>
      </c>
    </row>
    <row r="3" spans="1:23" x14ac:dyDescent="0.25">
      <c r="A3" s="10">
        <v>2</v>
      </c>
      <c r="B3" s="10" t="s">
        <v>53</v>
      </c>
      <c r="C3" s="10" t="s">
        <v>54</v>
      </c>
      <c r="D3" s="10">
        <v>1452</v>
      </c>
      <c r="E3" s="10" t="s">
        <v>10</v>
      </c>
      <c r="F3" s="10" t="s">
        <v>20</v>
      </c>
      <c r="G3" s="11">
        <v>423.06</v>
      </c>
      <c r="H3" s="12">
        <f>ROUND(G3*(1-Premissas!$B$2),2)</f>
        <v>397.68</v>
      </c>
      <c r="I3" s="12">
        <f>ROUND(G3*(1-Premissas!$B$6),2)</f>
        <v>397.68</v>
      </c>
      <c r="J3" s="10">
        <f>Premissas!$B$3</f>
        <v>6</v>
      </c>
      <c r="K3" s="12">
        <f t="shared" si="0"/>
        <v>66.28</v>
      </c>
      <c r="L3" s="10" t="s">
        <v>55</v>
      </c>
      <c r="M3" s="11">
        <v>481.59</v>
      </c>
      <c r="N3" s="11">
        <v>394.9</v>
      </c>
      <c r="O3" s="11">
        <v>481.59</v>
      </c>
      <c r="P3" s="13">
        <v>10</v>
      </c>
      <c r="Q3" s="12">
        <f t="shared" si="1"/>
        <v>48.16</v>
      </c>
      <c r="R3" s="14">
        <f t="shared" si="2"/>
        <v>0.18000789052928845</v>
      </c>
      <c r="S3" s="14">
        <f t="shared" si="3"/>
        <v>0</v>
      </c>
      <c r="T3" s="14">
        <f t="shared" si="4"/>
        <v>7.0397569004811977E-3</v>
      </c>
      <c r="U3" s="14">
        <f t="shared" si="5"/>
        <v>-0.17423534541830177</v>
      </c>
      <c r="V3" s="14">
        <f t="shared" si="6"/>
        <v>0.3762458471760799</v>
      </c>
      <c r="W3" s="10" t="str">
        <f>IF(T3="","Sem dado",IF(T3&gt;Premissas!$B$4,"Caro",IF(T3&lt;-Premissas!$B$4,"Competitivo","Na média")))</f>
        <v>Na média</v>
      </c>
    </row>
    <row r="4" spans="1:23" x14ac:dyDescent="0.25">
      <c r="A4" s="10">
        <v>3</v>
      </c>
      <c r="B4" s="10" t="s">
        <v>56</v>
      </c>
      <c r="C4" s="10" t="s">
        <v>57</v>
      </c>
      <c r="D4" s="10">
        <v>923983</v>
      </c>
      <c r="E4" s="10" t="s">
        <v>10</v>
      </c>
      <c r="F4" s="10" t="s">
        <v>20</v>
      </c>
      <c r="G4" s="11">
        <v>619.29</v>
      </c>
      <c r="H4" s="12">
        <f>ROUND(G4*(1-Premissas!$B$2),2)</f>
        <v>582.13</v>
      </c>
      <c r="I4" s="12">
        <f>ROUND(G4*(1-Premissas!$B$6),2)</f>
        <v>582.13</v>
      </c>
      <c r="J4" s="10">
        <f>Premissas!$B$3</f>
        <v>6</v>
      </c>
      <c r="K4" s="12">
        <f t="shared" si="0"/>
        <v>97.02</v>
      </c>
      <c r="L4" s="10" t="s">
        <v>58</v>
      </c>
      <c r="M4" s="11">
        <v>755.45</v>
      </c>
      <c r="N4" s="11">
        <v>679.9</v>
      </c>
      <c r="O4" s="11">
        <v>755.45</v>
      </c>
      <c r="P4" s="13">
        <v>10</v>
      </c>
      <c r="Q4" s="12">
        <f t="shared" si="1"/>
        <v>75.55</v>
      </c>
      <c r="R4" s="14">
        <f t="shared" si="2"/>
        <v>0.10000661857171234</v>
      </c>
      <c r="S4" s="14">
        <f t="shared" si="3"/>
        <v>0</v>
      </c>
      <c r="T4" s="14">
        <f t="shared" si="4"/>
        <v>-0.14380055890572141</v>
      </c>
      <c r="U4" s="14">
        <f t="shared" si="5"/>
        <v>-0.22942616983255015</v>
      </c>
      <c r="V4" s="14">
        <f t="shared" si="6"/>
        <v>0.28418266048974195</v>
      </c>
      <c r="W4" s="10" t="str">
        <f>IF(T4="","Sem dado",IF(T4&gt;Premissas!$B$4,"Caro",IF(T4&lt;-Premissas!$B$4,"Competitivo","Na média")))</f>
        <v>Competitivo</v>
      </c>
    </row>
    <row r="5" spans="1:23" x14ac:dyDescent="0.25">
      <c r="A5" s="10">
        <v>4</v>
      </c>
      <c r="B5" s="10" t="s">
        <v>50</v>
      </c>
      <c r="C5" s="10" t="s">
        <v>59</v>
      </c>
      <c r="D5" s="10">
        <v>923865</v>
      </c>
      <c r="E5" s="10" t="s">
        <v>10</v>
      </c>
      <c r="F5" s="10" t="s">
        <v>20</v>
      </c>
      <c r="G5" s="11">
        <v>353.31</v>
      </c>
      <c r="H5" s="12">
        <f>ROUND(G5*(1-Premissas!$B$2),2)</f>
        <v>332.11</v>
      </c>
      <c r="I5" s="12">
        <f>ROUND(G5*(1-Premissas!$B$6),2)</f>
        <v>332.11</v>
      </c>
      <c r="J5" s="10">
        <f>Premissas!$B$3</f>
        <v>6</v>
      </c>
      <c r="K5" s="12">
        <f t="shared" si="0"/>
        <v>55.35</v>
      </c>
      <c r="L5" s="10" t="s">
        <v>60</v>
      </c>
      <c r="M5" s="11">
        <v>397.62</v>
      </c>
      <c r="N5" s="11">
        <v>349.9</v>
      </c>
      <c r="O5" s="11">
        <v>397.62</v>
      </c>
      <c r="P5" s="13">
        <v>10</v>
      </c>
      <c r="Q5" s="12">
        <f t="shared" si="1"/>
        <v>39.76</v>
      </c>
      <c r="R5" s="14">
        <f t="shared" si="2"/>
        <v>0.12001408379860179</v>
      </c>
      <c r="S5" s="14">
        <f t="shared" si="3"/>
        <v>0</v>
      </c>
      <c r="T5" s="14">
        <f t="shared" si="4"/>
        <v>-5.0843098028007905E-2</v>
      </c>
      <c r="U5" s="14">
        <f t="shared" si="5"/>
        <v>-0.16475529399929578</v>
      </c>
      <c r="V5" s="14">
        <f t="shared" si="6"/>
        <v>0.39210261569416516</v>
      </c>
      <c r="W5" s="10" t="str">
        <f>IF(T5="","Sem dado",IF(T5&gt;Premissas!$B$4,"Caro",IF(T5&lt;-Premissas!$B$4,"Competitivo","Na média")))</f>
        <v>Competitivo</v>
      </c>
    </row>
    <row r="6" spans="1:23" x14ac:dyDescent="0.25">
      <c r="A6" s="10">
        <v>5</v>
      </c>
      <c r="B6" s="10" t="s">
        <v>61</v>
      </c>
      <c r="C6" s="10" t="s">
        <v>62</v>
      </c>
      <c r="D6" s="10">
        <v>924049</v>
      </c>
      <c r="E6" s="10" t="s">
        <v>10</v>
      </c>
      <c r="F6" s="10" t="s">
        <v>20</v>
      </c>
      <c r="G6" s="11">
        <v>297.51</v>
      </c>
      <c r="H6" s="12">
        <f>ROUND(G6*(1-Premissas!$B$2),2)</f>
        <v>279.66000000000003</v>
      </c>
      <c r="I6" s="12">
        <f>ROUND(G6*(1-Premissas!$B$6),2)</f>
        <v>279.66000000000003</v>
      </c>
      <c r="J6" s="10">
        <f>Premissas!$B$3</f>
        <v>6</v>
      </c>
      <c r="K6" s="12">
        <f t="shared" si="0"/>
        <v>46.61</v>
      </c>
      <c r="L6" s="10" t="s">
        <v>63</v>
      </c>
      <c r="M6" s="11">
        <v>340.8</v>
      </c>
      <c r="N6" s="11">
        <v>299.89999999999998</v>
      </c>
      <c r="O6" s="11">
        <v>340.8</v>
      </c>
      <c r="P6" s="13">
        <v>10</v>
      </c>
      <c r="Q6" s="12">
        <f t="shared" si="1"/>
        <v>34.08</v>
      </c>
      <c r="R6" s="14">
        <f t="shared" si="2"/>
        <v>0.12001173708920199</v>
      </c>
      <c r="S6" s="14">
        <f t="shared" si="3"/>
        <v>0</v>
      </c>
      <c r="T6" s="14">
        <f t="shared" si="4"/>
        <v>-6.7489163054351264E-2</v>
      </c>
      <c r="U6" s="14">
        <f t="shared" si="5"/>
        <v>-0.17940140845070418</v>
      </c>
      <c r="V6" s="14">
        <f t="shared" si="6"/>
        <v>0.36766431924882625</v>
      </c>
      <c r="W6" s="10" t="str">
        <f>IF(T6="","Sem dado",IF(T6&gt;Premissas!$B$4,"Caro",IF(T6&lt;-Premissas!$B$4,"Competitivo","Na média")))</f>
        <v>Competitivo</v>
      </c>
    </row>
    <row r="7" spans="1:23" x14ac:dyDescent="0.25">
      <c r="A7" s="10">
        <v>6</v>
      </c>
      <c r="B7" s="10" t="s">
        <v>64</v>
      </c>
      <c r="C7" s="10" t="s">
        <v>54</v>
      </c>
      <c r="D7" s="10">
        <v>1445</v>
      </c>
      <c r="E7" s="10" t="s">
        <v>10</v>
      </c>
      <c r="F7" s="10" t="s">
        <v>20</v>
      </c>
      <c r="G7" s="11">
        <v>433.29</v>
      </c>
      <c r="H7" s="12">
        <f>ROUND(G7*(1-Premissas!$B$2),2)</f>
        <v>407.29</v>
      </c>
      <c r="I7" s="12">
        <f>ROUND(G7*(1-Premissas!$B$6),2)</f>
        <v>407.29</v>
      </c>
      <c r="J7" s="10">
        <f>Premissas!$B$3</f>
        <v>6</v>
      </c>
      <c r="K7" s="12">
        <f t="shared" si="0"/>
        <v>67.88</v>
      </c>
      <c r="L7" s="10" t="s">
        <v>65</v>
      </c>
      <c r="M7" s="11">
        <v>512.08000000000004</v>
      </c>
      <c r="N7" s="11">
        <v>419.9</v>
      </c>
      <c r="O7" s="11">
        <v>512.08000000000004</v>
      </c>
      <c r="P7" s="13">
        <v>10</v>
      </c>
      <c r="Q7" s="12">
        <f t="shared" si="1"/>
        <v>51.21</v>
      </c>
      <c r="R7" s="14">
        <f t="shared" si="2"/>
        <v>0.18001093579128269</v>
      </c>
      <c r="S7" s="14">
        <f t="shared" si="3"/>
        <v>0</v>
      </c>
      <c r="T7" s="14">
        <f t="shared" si="4"/>
        <v>-3.003095975232184E-2</v>
      </c>
      <c r="U7" s="14">
        <f t="shared" si="5"/>
        <v>-0.20463599437587876</v>
      </c>
      <c r="V7" s="14">
        <f t="shared" si="6"/>
        <v>0.32552235891427439</v>
      </c>
      <c r="W7" s="10" t="str">
        <f>IF(T7="","Sem dado",IF(T7&gt;Premissas!$B$4,"Caro",IF(T7&lt;-Premissas!$B$4,"Competitivo","Na média")))</f>
        <v>Na média</v>
      </c>
    </row>
    <row r="8" spans="1:23" x14ac:dyDescent="0.25">
      <c r="A8" s="10">
        <v>7</v>
      </c>
      <c r="B8" s="10" t="s">
        <v>66</v>
      </c>
      <c r="C8" s="10" t="s">
        <v>67</v>
      </c>
      <c r="D8" s="10">
        <v>923825</v>
      </c>
      <c r="E8" s="10" t="s">
        <v>10</v>
      </c>
      <c r="F8" s="10" t="s">
        <v>20</v>
      </c>
      <c r="G8" s="11">
        <v>1097.31</v>
      </c>
      <c r="H8" s="12">
        <f>ROUND(G8*(1-Premissas!$B$2),2)</f>
        <v>1031.47</v>
      </c>
      <c r="I8" s="12">
        <f>ROUND(G8*(1-Premissas!$B$6),2)</f>
        <v>1031.47</v>
      </c>
      <c r="J8" s="10">
        <f>Premissas!$B$3</f>
        <v>6</v>
      </c>
      <c r="K8" s="12">
        <f t="shared" si="0"/>
        <v>171.91</v>
      </c>
      <c r="L8" s="10" t="s">
        <v>68</v>
      </c>
      <c r="M8" s="11">
        <v>1299.8900000000001</v>
      </c>
      <c r="N8" s="11">
        <v>1169.9000000000001</v>
      </c>
      <c r="O8" s="11">
        <v>1299.8900000000001</v>
      </c>
      <c r="P8" s="13">
        <v>10</v>
      </c>
      <c r="Q8" s="12">
        <f t="shared" si="1"/>
        <v>129.99</v>
      </c>
      <c r="R8" s="14">
        <f t="shared" si="2"/>
        <v>0.10000076929586355</v>
      </c>
      <c r="S8" s="14">
        <f t="shared" si="3"/>
        <v>0</v>
      </c>
      <c r="T8" s="14">
        <f t="shared" si="4"/>
        <v>-0.11832635267971625</v>
      </c>
      <c r="U8" s="14">
        <f t="shared" si="5"/>
        <v>-0.20649439567963446</v>
      </c>
      <c r="V8" s="14">
        <f t="shared" si="6"/>
        <v>0.32248634510346941</v>
      </c>
      <c r="W8" s="10" t="str">
        <f>IF(T8="","Sem dado",IF(T8&gt;Premissas!$B$4,"Caro",IF(T8&lt;-Premissas!$B$4,"Competitivo","Na média")))</f>
        <v>Competitivo</v>
      </c>
    </row>
    <row r="9" spans="1:23" x14ac:dyDescent="0.25">
      <c r="A9" s="10">
        <v>8</v>
      </c>
      <c r="B9" s="10" t="s">
        <v>69</v>
      </c>
      <c r="C9" s="10" t="s">
        <v>57</v>
      </c>
      <c r="D9" s="10">
        <v>2081</v>
      </c>
      <c r="E9" s="10" t="s">
        <v>10</v>
      </c>
      <c r="F9" s="10" t="s">
        <v>20</v>
      </c>
      <c r="G9" s="11">
        <v>702.99</v>
      </c>
      <c r="H9" s="12">
        <f>ROUND(G9*(1-Premissas!$B$2),2)</f>
        <v>660.81</v>
      </c>
      <c r="I9" s="12">
        <f>ROUND(G9*(1-Premissas!$B$6),2)</f>
        <v>660.81</v>
      </c>
      <c r="J9" s="10">
        <f>Premissas!$B$3</f>
        <v>6</v>
      </c>
      <c r="K9" s="12">
        <f t="shared" si="0"/>
        <v>110.14</v>
      </c>
      <c r="L9" s="10" t="s">
        <v>70</v>
      </c>
      <c r="M9" s="11">
        <v>749.89</v>
      </c>
      <c r="N9" s="11">
        <v>659.9</v>
      </c>
      <c r="O9" s="11">
        <v>749.89</v>
      </c>
      <c r="P9" s="13">
        <v>10</v>
      </c>
      <c r="Q9" s="12">
        <f t="shared" si="1"/>
        <v>74.989999999999995</v>
      </c>
      <c r="R9" s="14">
        <f t="shared" si="2"/>
        <v>0.12000426729253622</v>
      </c>
      <c r="S9" s="14">
        <f t="shared" si="3"/>
        <v>0</v>
      </c>
      <c r="T9" s="14">
        <f t="shared" si="4"/>
        <v>1.3789968176995959E-3</v>
      </c>
      <c r="U9" s="14">
        <f t="shared" si="5"/>
        <v>-0.11879075597754341</v>
      </c>
      <c r="V9" s="14">
        <f t="shared" si="6"/>
        <v>0.46872916388851849</v>
      </c>
      <c r="W9" s="10" t="str">
        <f>IF(T9="","Sem dado",IF(T9&gt;Premissas!$B$4,"Caro",IF(T9&lt;-Premissas!$B$4,"Competitivo","Na média")))</f>
        <v>Na média</v>
      </c>
    </row>
    <row r="10" spans="1:23" x14ac:dyDescent="0.25">
      <c r="A10" s="10">
        <v>9</v>
      </c>
      <c r="B10" s="10" t="s">
        <v>64</v>
      </c>
      <c r="C10" s="10" t="s">
        <v>71</v>
      </c>
      <c r="D10" s="10">
        <v>923978</v>
      </c>
      <c r="E10" s="10" t="s">
        <v>10</v>
      </c>
      <c r="F10" s="10" t="s">
        <v>20</v>
      </c>
      <c r="G10" s="11">
        <v>483.51</v>
      </c>
      <c r="H10" s="12">
        <f>ROUND(G10*(1-Premissas!$B$2),2)</f>
        <v>454.5</v>
      </c>
      <c r="I10" s="12">
        <f>ROUND(G10*(1-Premissas!$B$6),2)</f>
        <v>454.5</v>
      </c>
      <c r="J10" s="10">
        <f>Premissas!$B$3</f>
        <v>6</v>
      </c>
      <c r="K10" s="12">
        <f t="shared" si="0"/>
        <v>75.75</v>
      </c>
      <c r="L10" s="10" t="s">
        <v>72</v>
      </c>
      <c r="M10" s="11">
        <v>533.23</v>
      </c>
      <c r="N10" s="11">
        <v>479.9</v>
      </c>
      <c r="O10" s="11">
        <v>533.23</v>
      </c>
      <c r="P10" s="13">
        <v>10</v>
      </c>
      <c r="Q10" s="12">
        <f t="shared" si="1"/>
        <v>53.32</v>
      </c>
      <c r="R10" s="14">
        <f t="shared" si="2"/>
        <v>0.10001312754346159</v>
      </c>
      <c r="S10" s="14">
        <f t="shared" si="3"/>
        <v>0</v>
      </c>
      <c r="T10" s="14">
        <f t="shared" si="4"/>
        <v>-5.2927693269431142E-2</v>
      </c>
      <c r="U10" s="14">
        <f t="shared" si="5"/>
        <v>-0.14764735667535589</v>
      </c>
      <c r="V10" s="14">
        <f t="shared" si="6"/>
        <v>0.42066766691672908</v>
      </c>
      <c r="W10" s="10" t="str">
        <f>IF(T10="","Sem dado",IF(T10&gt;Premissas!$B$4,"Caro",IF(T10&lt;-Premissas!$B$4,"Competitivo","Na média")))</f>
        <v>Competitivo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"/>
  <sheetViews>
    <sheetView zoomScaleNormal="100" workbookViewId="0">
      <pane xSplit="3" ySplit="1" topLeftCell="S2" activePane="bottomRight" state="frozen"/>
      <selection pane="topRight" activeCell="D1" sqref="D1"/>
      <selection pane="bottomLeft" activeCell="A2" sqref="A2"/>
      <selection pane="bottomRight" activeCell="X1" sqref="X1:X1048576"/>
    </sheetView>
  </sheetViews>
  <sheetFormatPr defaultColWidth="8.7109375" defaultRowHeight="15" x14ac:dyDescent="0.25"/>
  <cols>
    <col min="1" max="1" width="6" customWidth="1"/>
    <col min="2" max="2" width="11" customWidth="1"/>
    <col min="3" max="3" width="22" customWidth="1"/>
    <col min="4" max="4" width="10" customWidth="1"/>
    <col min="5" max="5" width="12" customWidth="1"/>
    <col min="6" max="6" width="13" customWidth="1"/>
    <col min="7" max="7" width="15" customWidth="1"/>
    <col min="8" max="8" width="14" customWidth="1"/>
    <col min="9" max="9" width="17" customWidth="1"/>
    <col min="10" max="10" width="14" customWidth="1"/>
    <col min="11" max="11" width="16" customWidth="1"/>
    <col min="12" max="12" width="50" customWidth="1"/>
    <col min="13" max="13" width="15" customWidth="1"/>
    <col min="14" max="14" width="14" customWidth="1"/>
    <col min="15" max="15" width="17" customWidth="1"/>
    <col min="16" max="16" width="14" customWidth="1"/>
    <col min="17" max="17" width="16" customWidth="1"/>
    <col min="18" max="18" width="18" customWidth="1"/>
    <col min="19" max="19" width="22" customWidth="1"/>
    <col min="20" max="20" width="11" customWidth="1"/>
    <col min="21" max="21" width="15" customWidth="1"/>
    <col min="22" max="22" width="14" customWidth="1"/>
    <col min="23" max="23" width="16" customWidth="1"/>
  </cols>
  <sheetData>
    <row r="1" spans="1:23" ht="26.25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  <c r="W1" s="6" t="s">
        <v>48</v>
      </c>
    </row>
    <row r="2" spans="1:23" x14ac:dyDescent="0.25">
      <c r="A2" s="2">
        <v>1</v>
      </c>
      <c r="B2" s="2" t="s">
        <v>50</v>
      </c>
      <c r="C2" s="2" t="s">
        <v>51</v>
      </c>
      <c r="D2" s="2">
        <v>924096</v>
      </c>
      <c r="E2" s="2" t="s">
        <v>10</v>
      </c>
      <c r="F2" s="2" t="s">
        <v>22</v>
      </c>
      <c r="G2" s="7">
        <v>306.81</v>
      </c>
      <c r="H2" s="8">
        <f>ROUND(G2*(1-Premissas!$B$2),2)</f>
        <v>288.39999999999998</v>
      </c>
      <c r="I2" s="8">
        <f>ROUND(G2*(1-Premissas!$B$6),2)</f>
        <v>288.39999999999998</v>
      </c>
      <c r="J2" s="2">
        <f>Premissas!$B$3</f>
        <v>6</v>
      </c>
      <c r="K2" s="8">
        <f t="shared" ref="K2:K10" si="0">ROUND(I2/J2,2)</f>
        <v>48.07</v>
      </c>
      <c r="L2" s="2" t="s">
        <v>73</v>
      </c>
      <c r="M2" s="7">
        <v>435.72</v>
      </c>
      <c r="N2" s="7">
        <v>338.12</v>
      </c>
      <c r="O2" s="7">
        <v>348.58</v>
      </c>
      <c r="P2" s="9">
        <v>6</v>
      </c>
      <c r="Q2" s="8">
        <f t="shared" ref="Q2:Q10" si="1">IF(N2="","",ROUND(O2/P2,2))</f>
        <v>58.1</v>
      </c>
      <c r="R2" s="5">
        <f t="shared" ref="R2:R10" si="2">IF(N2="","",1-N2/M2)</f>
        <v>0.22399706233360883</v>
      </c>
      <c r="S2" s="5">
        <f t="shared" ref="S2:S10" si="3">IF(N2="","",1-O2/M2)</f>
        <v>0.19999081979252742</v>
      </c>
      <c r="T2" s="5">
        <f t="shared" ref="T2:T10" si="4">IF(N2="","",H2/N2-1)</f>
        <v>-0.14704838518869046</v>
      </c>
      <c r="U2" s="5">
        <f t="shared" ref="U2:U10" si="5">IF(N2="","",I2/O2-1)</f>
        <v>-0.17264329565666425</v>
      </c>
      <c r="V2" s="5">
        <f t="shared" ref="V2:V10" si="6">IF(N2="","",K2/Q2-1)</f>
        <v>-0.17263339070567985</v>
      </c>
      <c r="W2" s="2" t="str">
        <f>IF(T2="","Sem dado",IF(T2&gt;Premissas!$B$4,"Caro",IF(T2&lt;-Premissas!$B$4,"Competitivo","Na média")))</f>
        <v>Competitivo</v>
      </c>
    </row>
    <row r="3" spans="1:23" x14ac:dyDescent="0.25">
      <c r="A3" s="2">
        <v>2</v>
      </c>
      <c r="B3" s="2" t="s">
        <v>53</v>
      </c>
      <c r="C3" s="2" t="s">
        <v>54</v>
      </c>
      <c r="D3" s="2">
        <v>1452</v>
      </c>
      <c r="E3" s="2" t="s">
        <v>10</v>
      </c>
      <c r="F3" s="2" t="s">
        <v>22</v>
      </c>
      <c r="G3" s="7">
        <v>423.06</v>
      </c>
      <c r="H3" s="8">
        <f>ROUND(G3*(1-Premissas!$B$2),2)</f>
        <v>397.68</v>
      </c>
      <c r="I3" s="8">
        <f>ROUND(G3*(1-Premissas!$B$6),2)</f>
        <v>397.68</v>
      </c>
      <c r="J3" s="2">
        <f>Premissas!$B$3</f>
        <v>6</v>
      </c>
      <c r="K3" s="8">
        <f t="shared" si="0"/>
        <v>66.28</v>
      </c>
      <c r="L3" s="2" t="s">
        <v>74</v>
      </c>
      <c r="M3" s="7">
        <v>583.62</v>
      </c>
      <c r="N3" s="7">
        <v>452.89</v>
      </c>
      <c r="O3" s="7">
        <v>466.9</v>
      </c>
      <c r="P3" s="9">
        <v>6</v>
      </c>
      <c r="Q3" s="8">
        <f t="shared" si="1"/>
        <v>77.819999999999993</v>
      </c>
      <c r="R3" s="5">
        <f t="shared" si="2"/>
        <v>0.22399849216956247</v>
      </c>
      <c r="S3" s="5">
        <f t="shared" si="3"/>
        <v>0.19999314622528364</v>
      </c>
      <c r="T3" s="5">
        <f t="shared" si="4"/>
        <v>-0.12190598158493227</v>
      </c>
      <c r="U3" s="5">
        <f t="shared" si="5"/>
        <v>-0.14825444420646816</v>
      </c>
      <c r="V3" s="5">
        <f t="shared" si="6"/>
        <v>-0.1482909277820611</v>
      </c>
      <c r="W3" s="2" t="str">
        <f>IF(T3="","Sem dado",IF(T3&gt;Premissas!$B$4,"Caro",IF(T3&lt;-Premissas!$B$4,"Competitivo","Na média")))</f>
        <v>Competitivo</v>
      </c>
    </row>
    <row r="4" spans="1:23" x14ac:dyDescent="0.25">
      <c r="A4" s="2">
        <v>3</v>
      </c>
      <c r="B4" s="2" t="s">
        <v>56</v>
      </c>
      <c r="C4" s="2" t="s">
        <v>57</v>
      </c>
      <c r="D4" s="2">
        <v>923983</v>
      </c>
      <c r="E4" s="2" t="s">
        <v>10</v>
      </c>
      <c r="F4" s="2" t="s">
        <v>22</v>
      </c>
      <c r="G4" s="7">
        <v>619.29</v>
      </c>
      <c r="H4" s="8">
        <f>ROUND(G4*(1-Premissas!$B$2),2)</f>
        <v>582.13</v>
      </c>
      <c r="I4" s="8">
        <f>ROUND(G4*(1-Premissas!$B$6),2)</f>
        <v>582.13</v>
      </c>
      <c r="J4" s="2">
        <f>Premissas!$B$3</f>
        <v>6</v>
      </c>
      <c r="K4" s="8">
        <f t="shared" si="0"/>
        <v>97.02</v>
      </c>
      <c r="L4" s="2" t="s">
        <v>76</v>
      </c>
      <c r="M4" s="7">
        <v>847.48</v>
      </c>
      <c r="N4" s="7">
        <v>657.64</v>
      </c>
      <c r="O4" s="7">
        <v>677.98</v>
      </c>
      <c r="P4" s="9">
        <v>6</v>
      </c>
      <c r="Q4" s="8">
        <f t="shared" si="1"/>
        <v>113</v>
      </c>
      <c r="R4" s="5">
        <f t="shared" si="2"/>
        <v>0.2240052862604428</v>
      </c>
      <c r="S4" s="5">
        <f t="shared" si="3"/>
        <v>0.20000471987539525</v>
      </c>
      <c r="T4" s="5">
        <f t="shared" si="4"/>
        <v>-0.11481965817164408</v>
      </c>
      <c r="U4" s="5">
        <f t="shared" si="5"/>
        <v>-0.1413758517950382</v>
      </c>
      <c r="V4" s="5">
        <f t="shared" si="6"/>
        <v>-0.14141592920353985</v>
      </c>
      <c r="W4" s="2" t="str">
        <f>IF(T4="","Sem dado",IF(T4&gt;Premissas!$B$4,"Caro",IF(T4&lt;-Premissas!$B$4,"Competitivo","Na média")))</f>
        <v>Competitivo</v>
      </c>
    </row>
    <row r="5" spans="1:23" x14ac:dyDescent="0.25">
      <c r="A5" s="2">
        <v>4</v>
      </c>
      <c r="B5" s="2" t="s">
        <v>50</v>
      </c>
      <c r="C5" s="2" t="s">
        <v>59</v>
      </c>
      <c r="D5" s="2">
        <v>923865</v>
      </c>
      <c r="E5" s="2" t="s">
        <v>10</v>
      </c>
      <c r="F5" s="2" t="s">
        <v>22</v>
      </c>
      <c r="G5" s="7">
        <v>353.31</v>
      </c>
      <c r="H5" s="8">
        <f>ROUND(G5*(1-Premissas!$B$2),2)</f>
        <v>332.11</v>
      </c>
      <c r="I5" s="8">
        <f>ROUND(G5*(1-Premissas!$B$6),2)</f>
        <v>332.11</v>
      </c>
      <c r="J5" s="2">
        <f>Premissas!$B$3</f>
        <v>6</v>
      </c>
      <c r="K5" s="8">
        <f t="shared" si="0"/>
        <v>55.35</v>
      </c>
      <c r="L5" s="2" t="s">
        <v>77</v>
      </c>
      <c r="M5" s="7">
        <v>484.64</v>
      </c>
      <c r="N5" s="7">
        <v>376.08</v>
      </c>
      <c r="O5" s="7">
        <v>387.71</v>
      </c>
      <c r="P5" s="9">
        <v>6</v>
      </c>
      <c r="Q5" s="8">
        <f t="shared" si="1"/>
        <v>64.62</v>
      </c>
      <c r="R5" s="5">
        <f t="shared" si="2"/>
        <v>0.22400132056784416</v>
      </c>
      <c r="S5" s="5">
        <f t="shared" si="3"/>
        <v>0.20000412677451307</v>
      </c>
      <c r="T5" s="5">
        <f t="shared" si="4"/>
        <v>-0.11691661348649218</v>
      </c>
      <c r="U5" s="5">
        <f t="shared" si="5"/>
        <v>-0.14340615408423818</v>
      </c>
      <c r="V5" s="5">
        <f t="shared" si="6"/>
        <v>-0.14345403899721454</v>
      </c>
      <c r="W5" s="2" t="str">
        <f>IF(T5="","Sem dado",IF(T5&gt;Premissas!$B$4,"Caro",IF(T5&lt;-Premissas!$B$4,"Competitivo","Na média")))</f>
        <v>Competitivo</v>
      </c>
    </row>
    <row r="6" spans="1:23" x14ac:dyDescent="0.25">
      <c r="A6" s="2">
        <v>5</v>
      </c>
      <c r="B6" s="2" t="s">
        <v>61</v>
      </c>
      <c r="C6" s="2" t="s">
        <v>62</v>
      </c>
      <c r="D6" s="2">
        <v>924049</v>
      </c>
      <c r="E6" s="2" t="s">
        <v>10</v>
      </c>
      <c r="F6" s="2" t="s">
        <v>22</v>
      </c>
      <c r="G6" s="7">
        <v>297.51</v>
      </c>
      <c r="H6" s="8">
        <f>ROUND(G6*(1-Premissas!$B$2),2)</f>
        <v>279.66000000000003</v>
      </c>
      <c r="I6" s="8">
        <f>ROUND(G6*(1-Premissas!$B$6),2)</f>
        <v>279.66000000000003</v>
      </c>
      <c r="J6" s="2">
        <f>Premissas!$B$3</f>
        <v>6</v>
      </c>
      <c r="K6" s="8">
        <f t="shared" si="0"/>
        <v>46.61</v>
      </c>
      <c r="L6" s="2" t="s">
        <v>78</v>
      </c>
      <c r="M6" s="7">
        <v>405.85</v>
      </c>
      <c r="N6" s="7">
        <v>314.94</v>
      </c>
      <c r="O6" s="7">
        <v>324.68</v>
      </c>
      <c r="P6" s="9">
        <v>6</v>
      </c>
      <c r="Q6" s="8">
        <f t="shared" si="1"/>
        <v>54.11</v>
      </c>
      <c r="R6" s="5">
        <f t="shared" si="2"/>
        <v>0.22399901441419245</v>
      </c>
      <c r="S6" s="5">
        <f t="shared" si="3"/>
        <v>0.20000000000000007</v>
      </c>
      <c r="T6" s="5">
        <f t="shared" si="4"/>
        <v>-0.11202133739759945</v>
      </c>
      <c r="U6" s="5">
        <f t="shared" si="5"/>
        <v>-0.13865960330171234</v>
      </c>
      <c r="V6" s="5">
        <f t="shared" si="6"/>
        <v>-0.13860654222879321</v>
      </c>
      <c r="W6" s="2" t="str">
        <f>IF(T6="","Sem dado",IF(T6&gt;Premissas!$B$4,"Caro",IF(T6&lt;-Premissas!$B$4,"Competitivo","Na média")))</f>
        <v>Competitivo</v>
      </c>
    </row>
    <row r="7" spans="1:23" x14ac:dyDescent="0.25">
      <c r="A7" s="2">
        <v>6</v>
      </c>
      <c r="B7" s="2" t="s">
        <v>64</v>
      </c>
      <c r="C7" s="2" t="s">
        <v>54</v>
      </c>
      <c r="D7" s="2">
        <v>1445</v>
      </c>
      <c r="E7" s="2" t="s">
        <v>10</v>
      </c>
      <c r="F7" s="2" t="s">
        <v>22</v>
      </c>
      <c r="G7" s="7">
        <v>433.29</v>
      </c>
      <c r="H7" s="8">
        <f>ROUND(G7*(1-Premissas!$B$2),2)</f>
        <v>407.29</v>
      </c>
      <c r="I7" s="8">
        <f>ROUND(G7*(1-Premissas!$B$6),2)</f>
        <v>407.29</v>
      </c>
      <c r="J7" s="2">
        <f>Premissas!$B$3</f>
        <v>6</v>
      </c>
      <c r="K7" s="8">
        <f t="shared" si="0"/>
        <v>67.88</v>
      </c>
      <c r="L7" s="2" t="s">
        <v>79</v>
      </c>
      <c r="M7" s="7">
        <v>597.91999999999996</v>
      </c>
      <c r="N7" s="7">
        <v>463.99</v>
      </c>
      <c r="O7" s="7">
        <v>478.34</v>
      </c>
      <c r="P7" s="9">
        <v>6</v>
      </c>
      <c r="Q7" s="8">
        <f t="shared" si="1"/>
        <v>79.72</v>
      </c>
      <c r="R7" s="5">
        <f t="shared" si="2"/>
        <v>0.22399317634466143</v>
      </c>
      <c r="S7" s="5">
        <f t="shared" si="3"/>
        <v>0.19999331014182498</v>
      </c>
      <c r="T7" s="5">
        <f t="shared" si="4"/>
        <v>-0.12220090950235996</v>
      </c>
      <c r="U7" s="5">
        <f t="shared" si="5"/>
        <v>-0.14853451519839433</v>
      </c>
      <c r="V7" s="5">
        <f t="shared" si="6"/>
        <v>-0.14851981936778735</v>
      </c>
      <c r="W7" s="2" t="str">
        <f>IF(T7="","Sem dado",IF(T7&gt;Premissas!$B$4,"Caro",IF(T7&lt;-Premissas!$B$4,"Competitivo","Na média")))</f>
        <v>Competitivo</v>
      </c>
    </row>
    <row r="8" spans="1:23" x14ac:dyDescent="0.25">
      <c r="A8" s="2">
        <v>7</v>
      </c>
      <c r="B8" s="2" t="s">
        <v>66</v>
      </c>
      <c r="C8" s="2" t="s">
        <v>67</v>
      </c>
      <c r="D8" s="2">
        <v>923825</v>
      </c>
      <c r="E8" s="2" t="s">
        <v>10</v>
      </c>
      <c r="F8" s="2" t="s">
        <v>22</v>
      </c>
      <c r="G8" s="7">
        <v>1097.31</v>
      </c>
      <c r="H8" s="8">
        <f>ROUND(G8*(1-Premissas!$B$2),2)</f>
        <v>1031.47</v>
      </c>
      <c r="I8" s="8">
        <f>ROUND(G8*(1-Premissas!$B$6),2)</f>
        <v>1031.47</v>
      </c>
      <c r="J8" s="2">
        <f>Premissas!$B$3</f>
        <v>6</v>
      </c>
      <c r="K8" s="8">
        <f t="shared" si="0"/>
        <v>171.91</v>
      </c>
      <c r="L8" s="2" t="s">
        <v>80</v>
      </c>
      <c r="M8" s="7">
        <v>1481.73</v>
      </c>
      <c r="N8" s="7">
        <v>1149.82</v>
      </c>
      <c r="O8" s="7">
        <v>1185.3800000000001</v>
      </c>
      <c r="P8" s="9">
        <v>6</v>
      </c>
      <c r="Q8" s="8">
        <f t="shared" si="1"/>
        <v>197.56</v>
      </c>
      <c r="R8" s="5">
        <f t="shared" si="2"/>
        <v>0.22400167371923363</v>
      </c>
      <c r="S8" s="5">
        <f t="shared" si="3"/>
        <v>0.20000269954715089</v>
      </c>
      <c r="T8" s="5">
        <f t="shared" si="4"/>
        <v>-0.10292915412847226</v>
      </c>
      <c r="U8" s="5">
        <f t="shared" si="5"/>
        <v>-0.12984022001383533</v>
      </c>
      <c r="V8" s="5">
        <f t="shared" si="6"/>
        <v>-0.12983397448876288</v>
      </c>
      <c r="W8" s="2" t="str">
        <f>IF(T8="","Sem dado",IF(T8&gt;Premissas!$B$4,"Caro",IF(T8&lt;-Premissas!$B$4,"Competitivo","Na média")))</f>
        <v>Competitivo</v>
      </c>
    </row>
    <row r="9" spans="1:23" x14ac:dyDescent="0.25">
      <c r="A9" s="2">
        <v>8</v>
      </c>
      <c r="B9" s="2" t="s">
        <v>69</v>
      </c>
      <c r="C9" s="2" t="s">
        <v>57</v>
      </c>
      <c r="D9" s="2">
        <v>2081</v>
      </c>
      <c r="E9" s="2" t="s">
        <v>10</v>
      </c>
      <c r="F9" s="2" t="s">
        <v>22</v>
      </c>
      <c r="G9" s="7">
        <v>702.99</v>
      </c>
      <c r="H9" s="8">
        <f>ROUND(G9*(1-Premissas!$B$2),2)</f>
        <v>660.81</v>
      </c>
      <c r="I9" s="8">
        <f>ROUND(G9*(1-Premissas!$B$6),2)</f>
        <v>660.81</v>
      </c>
      <c r="J9" s="2">
        <f>Premissas!$B$3</f>
        <v>6</v>
      </c>
      <c r="K9" s="8">
        <f t="shared" si="0"/>
        <v>110.14</v>
      </c>
      <c r="L9" s="2" t="s">
        <v>81</v>
      </c>
      <c r="M9" s="7">
        <v>945.01</v>
      </c>
      <c r="N9" s="7">
        <v>733.33</v>
      </c>
      <c r="O9" s="7">
        <v>756.01</v>
      </c>
      <c r="P9" s="9">
        <v>6</v>
      </c>
      <c r="Q9" s="8">
        <f t="shared" si="1"/>
        <v>126</v>
      </c>
      <c r="R9" s="5">
        <f t="shared" si="2"/>
        <v>0.22399762965471259</v>
      </c>
      <c r="S9" s="5">
        <f t="shared" si="3"/>
        <v>0.19999788362027915</v>
      </c>
      <c r="T9" s="5">
        <f t="shared" si="4"/>
        <v>-9.8891358597084644E-2</v>
      </c>
      <c r="U9" s="5">
        <f t="shared" si="5"/>
        <v>-0.1259242602611077</v>
      </c>
      <c r="V9" s="5">
        <f t="shared" si="6"/>
        <v>-0.12587301587301591</v>
      </c>
      <c r="W9" s="2" t="str">
        <f>IF(T9="","Sem dado",IF(T9&gt;Premissas!$B$4,"Caro",IF(T9&lt;-Premissas!$B$4,"Competitivo","Na média")))</f>
        <v>Competitivo</v>
      </c>
    </row>
    <row r="10" spans="1:23" x14ac:dyDescent="0.25">
      <c r="A10" s="2">
        <v>9</v>
      </c>
      <c r="B10" s="2" t="s">
        <v>64</v>
      </c>
      <c r="C10" s="2" t="s">
        <v>71</v>
      </c>
      <c r="D10" s="2">
        <v>923978</v>
      </c>
      <c r="E10" s="2" t="s">
        <v>10</v>
      </c>
      <c r="F10" s="2" t="s">
        <v>22</v>
      </c>
      <c r="G10" s="7">
        <v>483.51</v>
      </c>
      <c r="H10" s="8">
        <f>ROUND(G10*(1-Premissas!$B$2),2)</f>
        <v>454.5</v>
      </c>
      <c r="I10" s="8">
        <f>ROUND(G10*(1-Premissas!$B$6),2)</f>
        <v>454.5</v>
      </c>
      <c r="J10" s="2">
        <f>Premissas!$B$3</f>
        <v>6</v>
      </c>
      <c r="K10" s="8">
        <f t="shared" si="0"/>
        <v>75.75</v>
      </c>
      <c r="L10" s="2" t="s">
        <v>82</v>
      </c>
      <c r="M10" s="7">
        <v>664.42</v>
      </c>
      <c r="N10" s="7">
        <v>515.59</v>
      </c>
      <c r="O10" s="7">
        <v>531.54</v>
      </c>
      <c r="P10" s="9">
        <v>6</v>
      </c>
      <c r="Q10" s="8">
        <f t="shared" si="1"/>
        <v>88.59</v>
      </c>
      <c r="R10" s="5">
        <f t="shared" si="2"/>
        <v>0.22399987959423251</v>
      </c>
      <c r="S10" s="5">
        <f t="shared" si="3"/>
        <v>0.19999397971162824</v>
      </c>
      <c r="T10" s="5">
        <f t="shared" si="4"/>
        <v>-0.11848561841773508</v>
      </c>
      <c r="U10" s="5">
        <f t="shared" si="5"/>
        <v>-0.14493735184558065</v>
      </c>
      <c r="V10" s="5">
        <f t="shared" si="6"/>
        <v>-0.14493735184558076</v>
      </c>
      <c r="W10" s="2" t="str">
        <f>IF(T10="","Sem dado",IF(T10&gt;Premissas!$B$4,"Caro",IF(T10&lt;-Premissas!$B$4,"Competitivo","Na média")))</f>
        <v>Competitivo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1" sqref="A11:XFD11"/>
    </sheetView>
  </sheetViews>
  <sheetFormatPr defaultColWidth="8.7109375" defaultRowHeight="15" x14ac:dyDescent="0.25"/>
  <cols>
    <col min="1" max="1" width="6" customWidth="1"/>
    <col min="2" max="2" width="11" customWidth="1"/>
    <col min="3" max="3" width="22" customWidth="1"/>
    <col min="4" max="4" width="10" customWidth="1"/>
    <col min="5" max="5" width="12" customWidth="1"/>
    <col min="6" max="6" width="13" customWidth="1"/>
    <col min="7" max="7" width="15" customWidth="1"/>
    <col min="8" max="8" width="14" customWidth="1"/>
    <col min="9" max="9" width="17" customWidth="1"/>
    <col min="10" max="10" width="14" customWidth="1"/>
    <col min="11" max="11" width="16" customWidth="1"/>
    <col min="12" max="12" width="50" customWidth="1"/>
    <col min="13" max="13" width="15" customWidth="1"/>
    <col min="14" max="14" width="14" customWidth="1"/>
    <col min="15" max="15" width="17" customWidth="1"/>
    <col min="16" max="16" width="14" customWidth="1"/>
    <col min="17" max="17" width="16" customWidth="1"/>
    <col min="18" max="18" width="18" customWidth="1"/>
    <col min="19" max="19" width="22" customWidth="1"/>
    <col min="20" max="20" width="11" customWidth="1"/>
    <col min="21" max="21" width="15" customWidth="1"/>
    <col min="22" max="22" width="14" customWidth="1"/>
    <col min="23" max="23" width="16" customWidth="1"/>
    <col min="24" max="24" width="60" customWidth="1"/>
  </cols>
  <sheetData>
    <row r="1" spans="1:24" ht="26.25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  <c r="W1" s="6" t="s">
        <v>48</v>
      </c>
      <c r="X1" s="6" t="s">
        <v>49</v>
      </c>
    </row>
    <row r="2" spans="1:24" x14ac:dyDescent="0.25">
      <c r="A2" s="2">
        <v>1</v>
      </c>
      <c r="B2" s="2" t="s">
        <v>50</v>
      </c>
      <c r="C2" s="2" t="s">
        <v>51</v>
      </c>
      <c r="D2" s="2">
        <v>924096</v>
      </c>
      <c r="E2" s="2" t="s">
        <v>10</v>
      </c>
      <c r="F2" s="2" t="s">
        <v>24</v>
      </c>
      <c r="G2" s="7">
        <v>306.81</v>
      </c>
      <c r="H2" s="8">
        <f>ROUND(G2*(1-Premissas!$B$2),2)</f>
        <v>288.39999999999998</v>
      </c>
      <c r="I2" s="8">
        <f>ROUND(G2*(1-Premissas!$B$6),2)</f>
        <v>288.39999999999998</v>
      </c>
      <c r="J2" s="2">
        <f>Premissas!$B$3</f>
        <v>6</v>
      </c>
      <c r="K2" s="8">
        <f t="shared" ref="K2:K10" si="0">ROUND(I2/J2,2)</f>
        <v>48.07</v>
      </c>
      <c r="L2" s="2" t="s">
        <v>83</v>
      </c>
      <c r="M2" s="7">
        <v>351.02</v>
      </c>
      <c r="N2" s="7">
        <v>308.89999999999998</v>
      </c>
      <c r="O2" s="7">
        <v>351.02</v>
      </c>
      <c r="P2" s="9">
        <v>12</v>
      </c>
      <c r="Q2" s="8">
        <f t="shared" ref="Q2:Q10" si="1">IF(N2="","",ROUND(O2/P2,2))</f>
        <v>29.25</v>
      </c>
      <c r="R2" s="5">
        <f t="shared" ref="R2:R10" si="2">IF(N2="","",1-N2/M2)</f>
        <v>0.11999316278274741</v>
      </c>
      <c r="S2" s="5">
        <f t="shared" ref="S2:S10" si="3">IF(N2="","",1-O2/M2)</f>
        <v>0</v>
      </c>
      <c r="T2" s="5">
        <f t="shared" ref="T2:T10" si="4">IF(N2="","",H2/N2-1)</f>
        <v>-6.6364519261897015E-2</v>
      </c>
      <c r="U2" s="5">
        <f t="shared" ref="U2:U10" si="5">IF(N2="","",I2/O2-1)</f>
        <v>-0.17839439348185293</v>
      </c>
      <c r="V2" s="5">
        <f t="shared" ref="V2:V10" si="6">IF(N2="","",K2/Q2-1)</f>
        <v>0.64341880341880353</v>
      </c>
      <c r="W2" s="2" t="str">
        <f>IF(T2="","Sem dado",IF(T2&gt;Premissas!$B$4,"Caro",IF(T2&lt;-Premissas!$B$4,"Competitivo","Na média")))</f>
        <v>Competitivo</v>
      </c>
      <c r="X2" s="2" t="s">
        <v>75</v>
      </c>
    </row>
    <row r="3" spans="1:24" x14ac:dyDescent="0.25">
      <c r="A3" s="2">
        <v>2</v>
      </c>
      <c r="B3" s="2" t="s">
        <v>53</v>
      </c>
      <c r="C3" s="2" t="s">
        <v>54</v>
      </c>
      <c r="D3" s="2">
        <v>1452</v>
      </c>
      <c r="E3" s="2" t="s">
        <v>10</v>
      </c>
      <c r="F3" s="2" t="s">
        <v>24</v>
      </c>
      <c r="G3" s="7">
        <v>423.06</v>
      </c>
      <c r="H3" s="8">
        <f>ROUND(G3*(1-Premissas!$B$2),2)</f>
        <v>397.68</v>
      </c>
      <c r="I3" s="8">
        <f>ROUND(G3*(1-Premissas!$B$6),2)</f>
        <v>397.68</v>
      </c>
      <c r="J3" s="2">
        <f>Premissas!$B$3</f>
        <v>6</v>
      </c>
      <c r="K3" s="8">
        <f t="shared" si="0"/>
        <v>66.28</v>
      </c>
      <c r="L3" s="2" t="s">
        <v>84</v>
      </c>
      <c r="M3" s="7">
        <v>447.72</v>
      </c>
      <c r="N3" s="7">
        <v>393.99</v>
      </c>
      <c r="O3" s="7">
        <v>447.72</v>
      </c>
      <c r="P3" s="9">
        <v>12</v>
      </c>
      <c r="Q3" s="8">
        <f t="shared" si="1"/>
        <v>37.31</v>
      </c>
      <c r="R3" s="5">
        <f t="shared" si="2"/>
        <v>0.12000804073974813</v>
      </c>
      <c r="S3" s="5">
        <f t="shared" si="3"/>
        <v>0</v>
      </c>
      <c r="T3" s="5">
        <f t="shared" si="4"/>
        <v>9.3657199421304238E-3</v>
      </c>
      <c r="U3" s="5">
        <f t="shared" si="5"/>
        <v>-0.11176628249798981</v>
      </c>
      <c r="V3" s="5">
        <f t="shared" si="6"/>
        <v>0.77646743500402038</v>
      </c>
      <c r="W3" s="2" t="str">
        <f>IF(T3="","Sem dado",IF(T3&gt;Premissas!$B$4,"Caro",IF(T3&lt;-Premissas!$B$4,"Competitivo","Na média")))</f>
        <v>Na média</v>
      </c>
      <c r="X3" s="2" t="s">
        <v>75</v>
      </c>
    </row>
    <row r="4" spans="1:24" x14ac:dyDescent="0.25">
      <c r="A4" s="2">
        <v>3</v>
      </c>
      <c r="B4" s="2" t="s">
        <v>56</v>
      </c>
      <c r="C4" s="2" t="s">
        <v>57</v>
      </c>
      <c r="D4" s="2">
        <v>923983</v>
      </c>
      <c r="E4" s="2" t="s">
        <v>10</v>
      </c>
      <c r="F4" s="2" t="s">
        <v>24</v>
      </c>
      <c r="G4" s="7">
        <v>619.29</v>
      </c>
      <c r="H4" s="8">
        <f>ROUND(G4*(1-Premissas!$B$2),2)</f>
        <v>582.13</v>
      </c>
      <c r="I4" s="8">
        <f>ROUND(G4*(1-Premissas!$B$6),2)</f>
        <v>582.13</v>
      </c>
      <c r="J4" s="2">
        <f>Premissas!$B$3</f>
        <v>6</v>
      </c>
      <c r="K4" s="8">
        <f t="shared" si="0"/>
        <v>97.02</v>
      </c>
      <c r="L4" s="2" t="s">
        <v>85</v>
      </c>
      <c r="M4" s="7">
        <v>724.99</v>
      </c>
      <c r="N4" s="7">
        <v>637.99</v>
      </c>
      <c r="O4" s="7">
        <v>724.99</v>
      </c>
      <c r="P4" s="9">
        <v>12</v>
      </c>
      <c r="Q4" s="8">
        <f t="shared" si="1"/>
        <v>60.42</v>
      </c>
      <c r="R4" s="5">
        <f t="shared" si="2"/>
        <v>0.12000165519524408</v>
      </c>
      <c r="S4" s="5">
        <f t="shared" si="3"/>
        <v>0</v>
      </c>
      <c r="T4" s="5">
        <f t="shared" si="4"/>
        <v>-8.7556231288891673E-2</v>
      </c>
      <c r="U4" s="5">
        <f t="shared" si="5"/>
        <v>-0.19705099380681113</v>
      </c>
      <c r="V4" s="5">
        <f t="shared" si="6"/>
        <v>0.60575968222442889</v>
      </c>
      <c r="W4" s="2" t="str">
        <f>IF(T4="","Sem dado",IF(T4&gt;Premissas!$B$4,"Caro",IF(T4&lt;-Premissas!$B$4,"Competitivo","Na média")))</f>
        <v>Competitivo</v>
      </c>
      <c r="X4" s="2" t="s">
        <v>75</v>
      </c>
    </row>
    <row r="5" spans="1:24" x14ac:dyDescent="0.25">
      <c r="A5" s="2">
        <v>4</v>
      </c>
      <c r="B5" s="2" t="s">
        <v>50</v>
      </c>
      <c r="C5" s="2" t="s">
        <v>59</v>
      </c>
      <c r="D5" s="2">
        <v>923865</v>
      </c>
      <c r="E5" s="2" t="s">
        <v>10</v>
      </c>
      <c r="F5" s="2" t="s">
        <v>24</v>
      </c>
      <c r="G5" s="7">
        <v>353.31</v>
      </c>
      <c r="H5" s="8">
        <f>ROUND(G5*(1-Premissas!$B$2),2)</f>
        <v>332.11</v>
      </c>
      <c r="I5" s="8">
        <f>ROUND(G5*(1-Premissas!$B$6),2)</f>
        <v>332.11</v>
      </c>
      <c r="J5" s="2">
        <f>Premissas!$B$3</f>
        <v>6</v>
      </c>
      <c r="K5" s="8">
        <f t="shared" si="0"/>
        <v>55.35</v>
      </c>
      <c r="L5" s="2" t="s">
        <v>86</v>
      </c>
      <c r="M5" s="7">
        <v>395.44</v>
      </c>
      <c r="N5" s="7">
        <v>347.99</v>
      </c>
      <c r="O5" s="7">
        <v>395.44</v>
      </c>
      <c r="P5" s="9">
        <v>12</v>
      </c>
      <c r="Q5" s="8">
        <f t="shared" si="1"/>
        <v>32.950000000000003</v>
      </c>
      <c r="R5" s="5">
        <f t="shared" si="2"/>
        <v>0.11999291927978961</v>
      </c>
      <c r="S5" s="5">
        <f t="shared" si="3"/>
        <v>0</v>
      </c>
      <c r="T5" s="5">
        <f t="shared" si="4"/>
        <v>-4.5633495215379738E-2</v>
      </c>
      <c r="U5" s="5">
        <f t="shared" si="5"/>
        <v>-0.16015071818733562</v>
      </c>
      <c r="V5" s="5">
        <f t="shared" si="6"/>
        <v>0.67981790591805757</v>
      </c>
      <c r="W5" s="2" t="str">
        <f>IF(T5="","Sem dado",IF(T5&gt;Premissas!$B$4,"Caro",IF(T5&lt;-Premissas!$B$4,"Competitivo","Na média")))</f>
        <v>Na média</v>
      </c>
      <c r="X5" s="2" t="s">
        <v>75</v>
      </c>
    </row>
    <row r="6" spans="1:24" x14ac:dyDescent="0.25">
      <c r="A6" s="2">
        <v>5</v>
      </c>
      <c r="B6" s="2" t="s">
        <v>61</v>
      </c>
      <c r="C6" s="2" t="s">
        <v>62</v>
      </c>
      <c r="D6" s="2">
        <v>924049</v>
      </c>
      <c r="E6" s="2" t="s">
        <v>10</v>
      </c>
      <c r="F6" s="2" t="s">
        <v>24</v>
      </c>
      <c r="G6" s="7">
        <v>297.51</v>
      </c>
      <c r="H6" s="8">
        <f>ROUND(G6*(1-Premissas!$B$2),2)</f>
        <v>279.66000000000003</v>
      </c>
      <c r="I6" s="8">
        <f>ROUND(G6*(1-Premissas!$B$6),2)</f>
        <v>279.66000000000003</v>
      </c>
      <c r="J6" s="2">
        <f>Premissas!$B$3</f>
        <v>6</v>
      </c>
      <c r="K6" s="8">
        <f t="shared" si="0"/>
        <v>46.61</v>
      </c>
      <c r="L6" s="2" t="s">
        <v>87</v>
      </c>
      <c r="M6" s="7">
        <v>338.63</v>
      </c>
      <c r="N6" s="7">
        <v>297.99</v>
      </c>
      <c r="O6" s="7">
        <v>338.63</v>
      </c>
      <c r="P6" s="9">
        <v>12</v>
      </c>
      <c r="Q6" s="8">
        <f t="shared" si="1"/>
        <v>28.22</v>
      </c>
      <c r="R6" s="5">
        <f t="shared" si="2"/>
        <v>0.12001299353276429</v>
      </c>
      <c r="S6" s="5">
        <f t="shared" si="3"/>
        <v>0</v>
      </c>
      <c r="T6" s="5">
        <f t="shared" si="4"/>
        <v>-6.1512131279573112E-2</v>
      </c>
      <c r="U6" s="5">
        <f t="shared" si="5"/>
        <v>-0.17414286979889548</v>
      </c>
      <c r="V6" s="5">
        <f t="shared" si="6"/>
        <v>0.6516654854712971</v>
      </c>
      <c r="W6" s="2" t="str">
        <f>IF(T6="","Sem dado",IF(T6&gt;Premissas!$B$4,"Caro",IF(T6&lt;-Premissas!$B$4,"Competitivo","Na média")))</f>
        <v>Competitivo</v>
      </c>
      <c r="X6" s="2" t="s">
        <v>88</v>
      </c>
    </row>
    <row r="7" spans="1:24" x14ac:dyDescent="0.25">
      <c r="A7" s="2">
        <v>6</v>
      </c>
      <c r="B7" s="2" t="s">
        <v>64</v>
      </c>
      <c r="C7" s="2" t="s">
        <v>54</v>
      </c>
      <c r="D7" s="2">
        <v>1445</v>
      </c>
      <c r="E7" s="2" t="s">
        <v>10</v>
      </c>
      <c r="F7" s="2" t="s">
        <v>24</v>
      </c>
      <c r="G7" s="7">
        <v>433.29</v>
      </c>
      <c r="H7" s="8">
        <f>ROUND(G7*(1-Premissas!$B$2),2)</f>
        <v>407.29</v>
      </c>
      <c r="I7" s="8">
        <f>ROUND(G7*(1-Premissas!$B$6),2)</f>
        <v>407.29</v>
      </c>
      <c r="J7" s="2">
        <f>Premissas!$B$3</f>
        <v>6</v>
      </c>
      <c r="K7" s="8">
        <f t="shared" si="0"/>
        <v>67.88</v>
      </c>
      <c r="L7" s="2" t="s">
        <v>89</v>
      </c>
      <c r="M7" s="7">
        <v>476.13</v>
      </c>
      <c r="N7" s="7">
        <v>418.99</v>
      </c>
      <c r="O7" s="7">
        <v>476.13</v>
      </c>
      <c r="P7" s="9">
        <v>12</v>
      </c>
      <c r="Q7" s="8">
        <f t="shared" si="1"/>
        <v>39.68</v>
      </c>
      <c r="R7" s="5">
        <f t="shared" si="2"/>
        <v>0.12000924117362899</v>
      </c>
      <c r="S7" s="5">
        <f t="shared" si="3"/>
        <v>0</v>
      </c>
      <c r="T7" s="5">
        <f t="shared" si="4"/>
        <v>-2.7924294135898253E-2</v>
      </c>
      <c r="U7" s="5">
        <f t="shared" si="5"/>
        <v>-0.14458236195996887</v>
      </c>
      <c r="V7" s="5">
        <f t="shared" si="6"/>
        <v>0.71068548387096775</v>
      </c>
      <c r="W7" s="2" t="str">
        <f>IF(T7="","Sem dado",IF(T7&gt;Premissas!$B$4,"Caro",IF(T7&lt;-Premissas!$B$4,"Competitivo","Na média")))</f>
        <v>Na média</v>
      </c>
      <c r="X7" s="2" t="s">
        <v>75</v>
      </c>
    </row>
    <row r="8" spans="1:24" x14ac:dyDescent="0.25">
      <c r="A8" s="2">
        <v>7</v>
      </c>
      <c r="B8" s="2" t="s">
        <v>66</v>
      </c>
      <c r="C8" s="2" t="s">
        <v>67</v>
      </c>
      <c r="D8" s="2">
        <v>923825</v>
      </c>
      <c r="E8" s="2" t="s">
        <v>10</v>
      </c>
      <c r="F8" s="2" t="s">
        <v>24</v>
      </c>
      <c r="G8" s="7">
        <v>1097.31</v>
      </c>
      <c r="H8" s="8">
        <f>ROUND(G8*(1-Premissas!$B$2),2)</f>
        <v>1031.47</v>
      </c>
      <c r="I8" s="8">
        <f>ROUND(G8*(1-Premissas!$B$6),2)</f>
        <v>1031.47</v>
      </c>
      <c r="J8" s="2">
        <f>Premissas!$B$3</f>
        <v>6</v>
      </c>
      <c r="K8" s="8">
        <f t="shared" si="0"/>
        <v>171.91</v>
      </c>
      <c r="L8" s="2" t="s">
        <v>90</v>
      </c>
      <c r="M8" s="7">
        <v>1226.1400000000001</v>
      </c>
      <c r="N8" s="7">
        <v>1079</v>
      </c>
      <c r="O8" s="7">
        <v>1226.1400000000001</v>
      </c>
      <c r="P8" s="9">
        <v>12</v>
      </c>
      <c r="Q8" s="8">
        <f t="shared" si="1"/>
        <v>102.18</v>
      </c>
      <c r="R8" s="5">
        <f t="shared" si="2"/>
        <v>0.12000260981617117</v>
      </c>
      <c r="S8" s="5">
        <f t="shared" si="3"/>
        <v>0</v>
      </c>
      <c r="T8" s="5">
        <f t="shared" si="4"/>
        <v>-4.4050046339202953E-2</v>
      </c>
      <c r="U8" s="5">
        <f t="shared" si="5"/>
        <v>-0.15876653563214649</v>
      </c>
      <c r="V8" s="5">
        <f t="shared" si="6"/>
        <v>0.68242317478958681</v>
      </c>
      <c r="W8" s="2" t="str">
        <f>IF(T8="","Sem dado",IF(T8&gt;Premissas!$B$4,"Caro",IF(T8&lt;-Premissas!$B$4,"Competitivo","Na média")))</f>
        <v>Na média</v>
      </c>
      <c r="X8" s="2" t="s">
        <v>75</v>
      </c>
    </row>
    <row r="9" spans="1:24" x14ac:dyDescent="0.25">
      <c r="A9" s="2">
        <v>8</v>
      </c>
      <c r="B9" s="2" t="s">
        <v>69</v>
      </c>
      <c r="C9" s="2" t="s">
        <v>57</v>
      </c>
      <c r="D9" s="2">
        <v>2081</v>
      </c>
      <c r="E9" s="2" t="s">
        <v>10</v>
      </c>
      <c r="F9" s="2" t="s">
        <v>24</v>
      </c>
      <c r="G9" s="7">
        <v>702.99</v>
      </c>
      <c r="H9" s="8">
        <f>ROUND(G9*(1-Premissas!$B$2),2)</f>
        <v>660.81</v>
      </c>
      <c r="I9" s="8">
        <f>ROUND(G9*(1-Premissas!$B$6),2)</f>
        <v>660.81</v>
      </c>
      <c r="J9" s="2">
        <f>Premissas!$B$3</f>
        <v>6</v>
      </c>
      <c r="K9" s="8">
        <f t="shared" si="0"/>
        <v>110.14</v>
      </c>
      <c r="L9" s="2" t="s">
        <v>91</v>
      </c>
      <c r="M9" s="7">
        <v>724.99</v>
      </c>
      <c r="N9" s="7">
        <v>637.99</v>
      </c>
      <c r="O9" s="7">
        <v>724.99</v>
      </c>
      <c r="P9" s="9">
        <v>12</v>
      </c>
      <c r="Q9" s="8">
        <f t="shared" si="1"/>
        <v>60.42</v>
      </c>
      <c r="R9" s="5">
        <f t="shared" si="2"/>
        <v>0.12000165519524408</v>
      </c>
      <c r="S9" s="5">
        <f t="shared" si="3"/>
        <v>0</v>
      </c>
      <c r="T9" s="5">
        <f t="shared" si="4"/>
        <v>3.5768585714509582E-2</v>
      </c>
      <c r="U9" s="5">
        <f t="shared" si="5"/>
        <v>-8.8525358970468648E-2</v>
      </c>
      <c r="V9" s="5">
        <f t="shared" si="6"/>
        <v>0.82290632240979811</v>
      </c>
      <c r="W9" s="2" t="str">
        <f>IF(T9="","Sem dado",IF(T9&gt;Premissas!$B$4,"Caro",IF(T9&lt;-Premissas!$B$4,"Competitivo","Na média")))</f>
        <v>Na média</v>
      </c>
      <c r="X9" s="2" t="s">
        <v>75</v>
      </c>
    </row>
    <row r="10" spans="1:24" x14ac:dyDescent="0.25">
      <c r="A10" s="2">
        <v>9</v>
      </c>
      <c r="B10" s="2" t="s">
        <v>64</v>
      </c>
      <c r="C10" s="2" t="s">
        <v>71</v>
      </c>
      <c r="D10" s="2">
        <v>923978</v>
      </c>
      <c r="E10" s="2" t="s">
        <v>10</v>
      </c>
      <c r="F10" s="2" t="s">
        <v>24</v>
      </c>
      <c r="G10" s="7">
        <v>483.51</v>
      </c>
      <c r="H10" s="8">
        <f>ROUND(G10*(1-Premissas!$B$2),2)</f>
        <v>454.5</v>
      </c>
      <c r="I10" s="8">
        <f>ROUND(G10*(1-Premissas!$B$6),2)</f>
        <v>454.5</v>
      </c>
      <c r="J10" s="2">
        <f>Premissas!$B$3</f>
        <v>6</v>
      </c>
      <c r="K10" s="8">
        <f t="shared" si="0"/>
        <v>75.75</v>
      </c>
      <c r="L10" s="2" t="s">
        <v>92</v>
      </c>
      <c r="M10" s="7">
        <v>543.16999999999996</v>
      </c>
      <c r="N10" s="7">
        <v>477.99</v>
      </c>
      <c r="O10" s="7">
        <v>543.16999999999996</v>
      </c>
      <c r="P10" s="9">
        <v>12</v>
      </c>
      <c r="Q10" s="8">
        <f t="shared" si="1"/>
        <v>45.26</v>
      </c>
      <c r="R10" s="5">
        <f t="shared" si="2"/>
        <v>0.11999926358230384</v>
      </c>
      <c r="S10" s="5">
        <f t="shared" si="3"/>
        <v>0</v>
      </c>
      <c r="T10" s="5">
        <f t="shared" si="4"/>
        <v>-4.9143287516475231E-2</v>
      </c>
      <c r="U10" s="5">
        <f t="shared" si="5"/>
        <v>-0.16324539278678862</v>
      </c>
      <c r="V10" s="5">
        <f t="shared" si="6"/>
        <v>0.67366327883340715</v>
      </c>
      <c r="W10" s="2" t="str">
        <f>IF(T10="","Sem dado",IF(T10&gt;Premissas!$B$4,"Caro",IF(T10&lt;-Premissas!$B$4,"Competitivo","Na média")))</f>
        <v>Na média</v>
      </c>
      <c r="X10" s="2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8"/>
  <sheetViews>
    <sheetView tabSelected="1" zoomScaleNormal="100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A20" sqref="A20"/>
    </sheetView>
  </sheetViews>
  <sheetFormatPr defaultColWidth="8.7109375" defaultRowHeight="15" x14ac:dyDescent="0.25"/>
  <cols>
    <col min="1" max="1" width="6" customWidth="1"/>
    <col min="2" max="2" width="11" customWidth="1"/>
    <col min="3" max="3" width="22" customWidth="1"/>
    <col min="4" max="4" width="10" customWidth="1"/>
    <col min="5" max="5" width="12" customWidth="1"/>
    <col min="6" max="6" width="13" customWidth="1"/>
    <col min="7" max="7" width="15" customWidth="1"/>
    <col min="8" max="8" width="14" customWidth="1"/>
    <col min="9" max="9" width="17" customWidth="1"/>
    <col min="10" max="10" width="14" customWidth="1"/>
    <col min="11" max="11" width="16" customWidth="1"/>
    <col min="12" max="12" width="50" customWidth="1"/>
    <col min="13" max="13" width="15" customWidth="1"/>
    <col min="14" max="14" width="14" customWidth="1"/>
    <col min="15" max="15" width="17" customWidth="1"/>
    <col min="16" max="16" width="14" customWidth="1"/>
    <col min="17" max="17" width="16" customWidth="1"/>
    <col min="18" max="18" width="18" customWidth="1"/>
    <col min="19" max="19" width="22" customWidth="1"/>
    <col min="20" max="20" width="11" customWidth="1"/>
    <col min="21" max="21" width="15" customWidth="1"/>
    <col min="22" max="22" width="14" customWidth="1"/>
    <col min="23" max="23" width="16" customWidth="1"/>
  </cols>
  <sheetData>
    <row r="1" spans="1:23" ht="26.25" x14ac:dyDescent="0.25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  <c r="L1" s="15" t="s">
        <v>37</v>
      </c>
      <c r="M1" s="15" t="s">
        <v>38</v>
      </c>
      <c r="N1" s="15" t="s">
        <v>39</v>
      </c>
      <c r="O1" s="15" t="s">
        <v>40</v>
      </c>
      <c r="P1" s="15" t="s">
        <v>41</v>
      </c>
      <c r="Q1" s="15" t="s">
        <v>42</v>
      </c>
      <c r="R1" s="15" t="s">
        <v>43</v>
      </c>
      <c r="S1" s="15" t="s">
        <v>44</v>
      </c>
      <c r="T1" s="15" t="s">
        <v>45</v>
      </c>
      <c r="U1" s="15" t="s">
        <v>46</v>
      </c>
      <c r="V1" s="15" t="s">
        <v>47</v>
      </c>
      <c r="W1" s="15" t="s">
        <v>48</v>
      </c>
    </row>
    <row r="2" spans="1:23" x14ac:dyDescent="0.25">
      <c r="A2" s="10">
        <v>1</v>
      </c>
      <c r="B2" s="10" t="s">
        <v>50</v>
      </c>
      <c r="C2" s="10" t="s">
        <v>51</v>
      </c>
      <c r="D2" s="10">
        <v>924096</v>
      </c>
      <c r="E2" s="10" t="s">
        <v>10</v>
      </c>
      <c r="F2" s="10" t="s">
        <v>20</v>
      </c>
      <c r="G2" s="11">
        <v>306.81</v>
      </c>
      <c r="H2" s="12">
        <f>ROUND(G2*(1-Premissas!$B$2),2)</f>
        <v>288.39999999999998</v>
      </c>
      <c r="I2" s="12">
        <f>ROUND(G2*(1-Premissas!$B$6),2)</f>
        <v>288.39999999999998</v>
      </c>
      <c r="J2" s="10">
        <f>Premissas!$B$3</f>
        <v>6</v>
      </c>
      <c r="K2" s="12">
        <f t="shared" ref="K2:K28" si="0">ROUND(I2/J2,2)</f>
        <v>48.07</v>
      </c>
      <c r="L2" s="10" t="s">
        <v>52</v>
      </c>
      <c r="M2" s="11">
        <v>355.45</v>
      </c>
      <c r="N2" s="11">
        <v>319.89999999999998</v>
      </c>
      <c r="O2" s="11">
        <v>355.45</v>
      </c>
      <c r="P2" s="13">
        <v>10</v>
      </c>
      <c r="Q2" s="12">
        <f t="shared" ref="Q2:Q28" si="1">IF(N2="","",ROUND(O2/P2,2))</f>
        <v>35.549999999999997</v>
      </c>
      <c r="R2" s="14">
        <f t="shared" ref="R2:R28" si="2">IF(N2="","",1-N2/M2)</f>
        <v>0.10001406667604451</v>
      </c>
      <c r="S2" s="14">
        <f t="shared" ref="S2:S28" si="3">IF(N2="","",1-O2/M2)</f>
        <v>0</v>
      </c>
      <c r="T2" s="14">
        <f t="shared" ref="T2:T28" si="4">IF(N2="","",H2/N2-1)</f>
        <v>-9.8468271334792079E-2</v>
      </c>
      <c r="U2" s="14">
        <f t="shared" ref="U2:U28" si="5">IF(N2="","",I2/O2-1)</f>
        <v>-0.18863412575608385</v>
      </c>
      <c r="V2" s="14">
        <f t="shared" ref="V2:V28" si="6">IF(N2="","",K2/Q2-1)</f>
        <v>0.35218002812939542</v>
      </c>
      <c r="W2" s="10" t="str">
        <f>IF(T2="","Sem dado",IF(T2&gt;Premissas!$B$4,"Caro",IF(T2&lt;-Premissas!$B$4,"Competitivo","Na média")))</f>
        <v>Competitivo</v>
      </c>
    </row>
    <row r="3" spans="1:23" x14ac:dyDescent="0.25">
      <c r="A3" s="10">
        <v>2</v>
      </c>
      <c r="B3" s="10" t="s">
        <v>53</v>
      </c>
      <c r="C3" s="10" t="s">
        <v>54</v>
      </c>
      <c r="D3" s="10">
        <v>1452</v>
      </c>
      <c r="E3" s="10" t="s">
        <v>10</v>
      </c>
      <c r="F3" s="10" t="s">
        <v>20</v>
      </c>
      <c r="G3" s="11">
        <v>423.06</v>
      </c>
      <c r="H3" s="12">
        <f>ROUND(G3*(1-Premissas!$B$2),2)</f>
        <v>397.68</v>
      </c>
      <c r="I3" s="12">
        <f>ROUND(G3*(1-Premissas!$B$6),2)</f>
        <v>397.68</v>
      </c>
      <c r="J3" s="10">
        <f>Premissas!$B$3</f>
        <v>6</v>
      </c>
      <c r="K3" s="12">
        <f t="shared" si="0"/>
        <v>66.28</v>
      </c>
      <c r="L3" s="10" t="s">
        <v>55</v>
      </c>
      <c r="M3" s="11">
        <v>481.59</v>
      </c>
      <c r="N3" s="11">
        <v>394.9</v>
      </c>
      <c r="O3" s="11">
        <v>481.59</v>
      </c>
      <c r="P3" s="13">
        <v>10</v>
      </c>
      <c r="Q3" s="12">
        <f t="shared" si="1"/>
        <v>48.16</v>
      </c>
      <c r="R3" s="14">
        <f t="shared" si="2"/>
        <v>0.18000789052928845</v>
      </c>
      <c r="S3" s="14">
        <f t="shared" si="3"/>
        <v>0</v>
      </c>
      <c r="T3" s="14">
        <f t="shared" si="4"/>
        <v>7.0397569004811977E-3</v>
      </c>
      <c r="U3" s="14">
        <f t="shared" si="5"/>
        <v>-0.17423534541830177</v>
      </c>
      <c r="V3" s="14">
        <f t="shared" si="6"/>
        <v>0.3762458471760799</v>
      </c>
      <c r="W3" s="10" t="str">
        <f>IF(T3="","Sem dado",IF(T3&gt;Premissas!$B$4,"Caro",IF(T3&lt;-Premissas!$B$4,"Competitivo","Na média")))</f>
        <v>Na média</v>
      </c>
    </row>
    <row r="4" spans="1:23" x14ac:dyDescent="0.25">
      <c r="A4" s="10">
        <v>3</v>
      </c>
      <c r="B4" s="10" t="s">
        <v>56</v>
      </c>
      <c r="C4" s="10" t="s">
        <v>57</v>
      </c>
      <c r="D4" s="10">
        <v>923983</v>
      </c>
      <c r="E4" s="10" t="s">
        <v>10</v>
      </c>
      <c r="F4" s="10" t="s">
        <v>20</v>
      </c>
      <c r="G4" s="11">
        <v>619.29</v>
      </c>
      <c r="H4" s="12">
        <f>ROUND(G4*(1-Premissas!$B$2),2)</f>
        <v>582.13</v>
      </c>
      <c r="I4" s="12">
        <f>ROUND(G4*(1-Premissas!$B$6),2)</f>
        <v>582.13</v>
      </c>
      <c r="J4" s="10">
        <f>Premissas!$B$3</f>
        <v>6</v>
      </c>
      <c r="K4" s="12">
        <f t="shared" si="0"/>
        <v>97.02</v>
      </c>
      <c r="L4" s="10" t="s">
        <v>58</v>
      </c>
      <c r="M4" s="11">
        <v>755.45</v>
      </c>
      <c r="N4" s="11">
        <v>679.9</v>
      </c>
      <c r="O4" s="11">
        <v>755.45</v>
      </c>
      <c r="P4" s="13">
        <v>10</v>
      </c>
      <c r="Q4" s="12">
        <f t="shared" si="1"/>
        <v>75.55</v>
      </c>
      <c r="R4" s="14">
        <f t="shared" si="2"/>
        <v>0.10000661857171234</v>
      </c>
      <c r="S4" s="14">
        <f t="shared" si="3"/>
        <v>0</v>
      </c>
      <c r="T4" s="14">
        <f t="shared" si="4"/>
        <v>-0.14380055890572141</v>
      </c>
      <c r="U4" s="14">
        <f t="shared" si="5"/>
        <v>-0.22942616983255015</v>
      </c>
      <c r="V4" s="14">
        <f t="shared" si="6"/>
        <v>0.28418266048974195</v>
      </c>
      <c r="W4" s="10" t="str">
        <f>IF(T4="","Sem dado",IF(T4&gt;Premissas!$B$4,"Caro",IF(T4&lt;-Premissas!$B$4,"Competitivo","Na média")))</f>
        <v>Competitivo</v>
      </c>
    </row>
    <row r="5" spans="1:23" x14ac:dyDescent="0.25">
      <c r="A5" s="10">
        <v>4</v>
      </c>
      <c r="B5" s="10" t="s">
        <v>50</v>
      </c>
      <c r="C5" s="10" t="s">
        <v>59</v>
      </c>
      <c r="D5" s="10">
        <v>923865</v>
      </c>
      <c r="E5" s="10" t="s">
        <v>10</v>
      </c>
      <c r="F5" s="10" t="s">
        <v>20</v>
      </c>
      <c r="G5" s="11">
        <v>353.31</v>
      </c>
      <c r="H5" s="12">
        <f>ROUND(G5*(1-Premissas!$B$2),2)</f>
        <v>332.11</v>
      </c>
      <c r="I5" s="12">
        <f>ROUND(G5*(1-Premissas!$B$6),2)</f>
        <v>332.11</v>
      </c>
      <c r="J5" s="10">
        <f>Premissas!$B$3</f>
        <v>6</v>
      </c>
      <c r="K5" s="12">
        <f t="shared" si="0"/>
        <v>55.35</v>
      </c>
      <c r="L5" s="10" t="s">
        <v>60</v>
      </c>
      <c r="M5" s="11">
        <v>397.62</v>
      </c>
      <c r="N5" s="11">
        <v>349.9</v>
      </c>
      <c r="O5" s="11">
        <v>397.62</v>
      </c>
      <c r="P5" s="13">
        <v>10</v>
      </c>
      <c r="Q5" s="12">
        <f t="shared" si="1"/>
        <v>39.76</v>
      </c>
      <c r="R5" s="14">
        <f t="shared" si="2"/>
        <v>0.12001408379860179</v>
      </c>
      <c r="S5" s="14">
        <f t="shared" si="3"/>
        <v>0</v>
      </c>
      <c r="T5" s="14">
        <f t="shared" si="4"/>
        <v>-5.0843098028007905E-2</v>
      </c>
      <c r="U5" s="14">
        <f t="shared" si="5"/>
        <v>-0.16475529399929578</v>
      </c>
      <c r="V5" s="14">
        <f t="shared" si="6"/>
        <v>0.39210261569416516</v>
      </c>
      <c r="W5" s="10" t="str">
        <f>IF(T5="","Sem dado",IF(T5&gt;Premissas!$B$4,"Caro",IF(T5&lt;-Premissas!$B$4,"Competitivo","Na média")))</f>
        <v>Competitivo</v>
      </c>
    </row>
    <row r="6" spans="1:23" x14ac:dyDescent="0.25">
      <c r="A6" s="10">
        <v>5</v>
      </c>
      <c r="B6" s="10" t="s">
        <v>61</v>
      </c>
      <c r="C6" s="10" t="s">
        <v>62</v>
      </c>
      <c r="D6" s="10">
        <v>924049</v>
      </c>
      <c r="E6" s="10" t="s">
        <v>10</v>
      </c>
      <c r="F6" s="10" t="s">
        <v>20</v>
      </c>
      <c r="G6" s="11">
        <v>297.51</v>
      </c>
      <c r="H6" s="12">
        <f>ROUND(G6*(1-Premissas!$B$2),2)</f>
        <v>279.66000000000003</v>
      </c>
      <c r="I6" s="12">
        <f>ROUND(G6*(1-Premissas!$B$6),2)</f>
        <v>279.66000000000003</v>
      </c>
      <c r="J6" s="10">
        <f>Premissas!$B$3</f>
        <v>6</v>
      </c>
      <c r="K6" s="12">
        <f t="shared" si="0"/>
        <v>46.61</v>
      </c>
      <c r="L6" s="10" t="s">
        <v>63</v>
      </c>
      <c r="M6" s="11">
        <v>340.8</v>
      </c>
      <c r="N6" s="11">
        <v>299.89999999999998</v>
      </c>
      <c r="O6" s="11">
        <v>340.8</v>
      </c>
      <c r="P6" s="13">
        <v>10</v>
      </c>
      <c r="Q6" s="12">
        <f t="shared" si="1"/>
        <v>34.08</v>
      </c>
      <c r="R6" s="14">
        <f t="shared" si="2"/>
        <v>0.12001173708920199</v>
      </c>
      <c r="S6" s="14">
        <f t="shared" si="3"/>
        <v>0</v>
      </c>
      <c r="T6" s="14">
        <f t="shared" si="4"/>
        <v>-6.7489163054351264E-2</v>
      </c>
      <c r="U6" s="14">
        <f t="shared" si="5"/>
        <v>-0.17940140845070418</v>
      </c>
      <c r="V6" s="14">
        <f t="shared" si="6"/>
        <v>0.36766431924882625</v>
      </c>
      <c r="W6" s="10" t="str">
        <f>IF(T6="","Sem dado",IF(T6&gt;Premissas!$B$4,"Caro",IF(T6&lt;-Premissas!$B$4,"Competitivo","Na média")))</f>
        <v>Competitivo</v>
      </c>
    </row>
    <row r="7" spans="1:23" x14ac:dyDescent="0.25">
      <c r="A7" s="10">
        <v>6</v>
      </c>
      <c r="B7" s="10" t="s">
        <v>64</v>
      </c>
      <c r="C7" s="10" t="s">
        <v>54</v>
      </c>
      <c r="D7" s="10">
        <v>1445</v>
      </c>
      <c r="E7" s="10" t="s">
        <v>10</v>
      </c>
      <c r="F7" s="10" t="s">
        <v>20</v>
      </c>
      <c r="G7" s="11">
        <v>433.29</v>
      </c>
      <c r="H7" s="12">
        <f>ROUND(G7*(1-Premissas!$B$2),2)</f>
        <v>407.29</v>
      </c>
      <c r="I7" s="12">
        <f>ROUND(G7*(1-Premissas!$B$6),2)</f>
        <v>407.29</v>
      </c>
      <c r="J7" s="10">
        <f>Premissas!$B$3</f>
        <v>6</v>
      </c>
      <c r="K7" s="12">
        <f t="shared" si="0"/>
        <v>67.88</v>
      </c>
      <c r="L7" s="10" t="s">
        <v>65</v>
      </c>
      <c r="M7" s="11">
        <v>512.08000000000004</v>
      </c>
      <c r="N7" s="11">
        <v>419.9</v>
      </c>
      <c r="O7" s="11">
        <v>512.08000000000004</v>
      </c>
      <c r="P7" s="13">
        <v>10</v>
      </c>
      <c r="Q7" s="12">
        <f t="shared" si="1"/>
        <v>51.21</v>
      </c>
      <c r="R7" s="14">
        <f t="shared" si="2"/>
        <v>0.18001093579128269</v>
      </c>
      <c r="S7" s="14">
        <f t="shared" si="3"/>
        <v>0</v>
      </c>
      <c r="T7" s="14">
        <f t="shared" si="4"/>
        <v>-3.003095975232184E-2</v>
      </c>
      <c r="U7" s="14">
        <f t="shared" si="5"/>
        <v>-0.20463599437587876</v>
      </c>
      <c r="V7" s="14">
        <f t="shared" si="6"/>
        <v>0.32552235891427439</v>
      </c>
      <c r="W7" s="10" t="str">
        <f>IF(T7="","Sem dado",IF(T7&gt;Premissas!$B$4,"Caro",IF(T7&lt;-Premissas!$B$4,"Competitivo","Na média")))</f>
        <v>Na média</v>
      </c>
    </row>
    <row r="8" spans="1:23" x14ac:dyDescent="0.25">
      <c r="A8" s="10">
        <v>7</v>
      </c>
      <c r="B8" s="10" t="s">
        <v>66</v>
      </c>
      <c r="C8" s="10" t="s">
        <v>67</v>
      </c>
      <c r="D8" s="10">
        <v>923825</v>
      </c>
      <c r="E8" s="10" t="s">
        <v>10</v>
      </c>
      <c r="F8" s="10" t="s">
        <v>20</v>
      </c>
      <c r="G8" s="11">
        <v>1097.31</v>
      </c>
      <c r="H8" s="12">
        <f>ROUND(G8*(1-Premissas!$B$2),2)</f>
        <v>1031.47</v>
      </c>
      <c r="I8" s="12">
        <f>ROUND(G8*(1-Premissas!$B$6),2)</f>
        <v>1031.47</v>
      </c>
      <c r="J8" s="10">
        <f>Premissas!$B$3</f>
        <v>6</v>
      </c>
      <c r="K8" s="12">
        <f t="shared" si="0"/>
        <v>171.91</v>
      </c>
      <c r="L8" s="10" t="s">
        <v>68</v>
      </c>
      <c r="M8" s="11">
        <v>1299.8900000000001</v>
      </c>
      <c r="N8" s="11">
        <v>1169.9000000000001</v>
      </c>
      <c r="O8" s="11">
        <v>1299.8900000000001</v>
      </c>
      <c r="P8" s="13">
        <v>10</v>
      </c>
      <c r="Q8" s="12">
        <f t="shared" si="1"/>
        <v>129.99</v>
      </c>
      <c r="R8" s="14">
        <f t="shared" si="2"/>
        <v>0.10000076929586355</v>
      </c>
      <c r="S8" s="14">
        <f t="shared" si="3"/>
        <v>0</v>
      </c>
      <c r="T8" s="14">
        <f t="shared" si="4"/>
        <v>-0.11832635267971625</v>
      </c>
      <c r="U8" s="14">
        <f t="shared" si="5"/>
        <v>-0.20649439567963446</v>
      </c>
      <c r="V8" s="14">
        <f t="shared" si="6"/>
        <v>0.32248634510346941</v>
      </c>
      <c r="W8" s="10" t="str">
        <f>IF(T8="","Sem dado",IF(T8&gt;Premissas!$B$4,"Caro",IF(T8&lt;-Premissas!$B$4,"Competitivo","Na média")))</f>
        <v>Competitivo</v>
      </c>
    </row>
    <row r="9" spans="1:23" x14ac:dyDescent="0.25">
      <c r="A9" s="10">
        <v>8</v>
      </c>
      <c r="B9" s="10" t="s">
        <v>69</v>
      </c>
      <c r="C9" s="10" t="s">
        <v>57</v>
      </c>
      <c r="D9" s="10">
        <v>2081</v>
      </c>
      <c r="E9" s="10" t="s">
        <v>10</v>
      </c>
      <c r="F9" s="10" t="s">
        <v>20</v>
      </c>
      <c r="G9" s="11">
        <v>702.99</v>
      </c>
      <c r="H9" s="12">
        <f>ROUND(G9*(1-Premissas!$B$2),2)</f>
        <v>660.81</v>
      </c>
      <c r="I9" s="12">
        <f>ROUND(G9*(1-Premissas!$B$6),2)</f>
        <v>660.81</v>
      </c>
      <c r="J9" s="10">
        <f>Premissas!$B$3</f>
        <v>6</v>
      </c>
      <c r="K9" s="12">
        <f t="shared" si="0"/>
        <v>110.14</v>
      </c>
      <c r="L9" s="10" t="s">
        <v>70</v>
      </c>
      <c r="M9" s="11">
        <v>749.89</v>
      </c>
      <c r="N9" s="11">
        <v>659.9</v>
      </c>
      <c r="O9" s="11">
        <v>749.89</v>
      </c>
      <c r="P9" s="13">
        <v>10</v>
      </c>
      <c r="Q9" s="12">
        <f t="shared" si="1"/>
        <v>74.989999999999995</v>
      </c>
      <c r="R9" s="14">
        <f t="shared" si="2"/>
        <v>0.12000426729253622</v>
      </c>
      <c r="S9" s="14">
        <f t="shared" si="3"/>
        <v>0</v>
      </c>
      <c r="T9" s="14">
        <f t="shared" si="4"/>
        <v>1.3789968176995959E-3</v>
      </c>
      <c r="U9" s="14">
        <f t="shared" si="5"/>
        <v>-0.11879075597754341</v>
      </c>
      <c r="V9" s="14">
        <f t="shared" si="6"/>
        <v>0.46872916388851849</v>
      </c>
      <c r="W9" s="10" t="str">
        <f>IF(T9="","Sem dado",IF(T9&gt;Premissas!$B$4,"Caro",IF(T9&lt;-Premissas!$B$4,"Competitivo","Na média")))</f>
        <v>Na média</v>
      </c>
    </row>
    <row r="10" spans="1:23" x14ac:dyDescent="0.25">
      <c r="A10" s="10">
        <v>9</v>
      </c>
      <c r="B10" s="10" t="s">
        <v>64</v>
      </c>
      <c r="C10" s="10" t="s">
        <v>71</v>
      </c>
      <c r="D10" s="10">
        <v>923978</v>
      </c>
      <c r="E10" s="10" t="s">
        <v>10</v>
      </c>
      <c r="F10" s="10" t="s">
        <v>20</v>
      </c>
      <c r="G10" s="11">
        <v>483.51</v>
      </c>
      <c r="H10" s="12">
        <f>ROUND(G10*(1-Premissas!$B$2),2)</f>
        <v>454.5</v>
      </c>
      <c r="I10" s="12">
        <f>ROUND(G10*(1-Premissas!$B$6),2)</f>
        <v>454.5</v>
      </c>
      <c r="J10" s="10">
        <f>Premissas!$B$3</f>
        <v>6</v>
      </c>
      <c r="K10" s="12">
        <f t="shared" si="0"/>
        <v>75.75</v>
      </c>
      <c r="L10" s="10" t="s">
        <v>72</v>
      </c>
      <c r="M10" s="11">
        <v>533.23</v>
      </c>
      <c r="N10" s="11">
        <v>479.9</v>
      </c>
      <c r="O10" s="11">
        <v>533.23</v>
      </c>
      <c r="P10" s="13">
        <v>10</v>
      </c>
      <c r="Q10" s="12">
        <f t="shared" si="1"/>
        <v>53.32</v>
      </c>
      <c r="R10" s="14">
        <f t="shared" si="2"/>
        <v>0.10001312754346159</v>
      </c>
      <c r="S10" s="14">
        <f t="shared" si="3"/>
        <v>0</v>
      </c>
      <c r="T10" s="14">
        <f t="shared" si="4"/>
        <v>-5.2927693269431142E-2</v>
      </c>
      <c r="U10" s="14">
        <f t="shared" si="5"/>
        <v>-0.14764735667535589</v>
      </c>
      <c r="V10" s="14">
        <f t="shared" si="6"/>
        <v>0.42066766691672908</v>
      </c>
      <c r="W10" s="10" t="str">
        <f>IF(T10="","Sem dado",IF(T10&gt;Premissas!$B$4,"Caro",IF(T10&lt;-Premissas!$B$4,"Competitivo","Na média")))</f>
        <v>Competitivo</v>
      </c>
    </row>
    <row r="11" spans="1:23" x14ac:dyDescent="0.25">
      <c r="A11" s="10">
        <v>1</v>
      </c>
      <c r="B11" s="10" t="s">
        <v>50</v>
      </c>
      <c r="C11" s="10" t="s">
        <v>51</v>
      </c>
      <c r="D11" s="10">
        <v>924096</v>
      </c>
      <c r="E11" s="10" t="s">
        <v>10</v>
      </c>
      <c r="F11" s="10" t="s">
        <v>22</v>
      </c>
      <c r="G11" s="11">
        <v>306.81</v>
      </c>
      <c r="H11" s="12">
        <f>ROUND(G11*(1-Premissas!$B$2),2)</f>
        <v>288.39999999999998</v>
      </c>
      <c r="I11" s="12">
        <f>ROUND(G11*(1-Premissas!$B$6),2)</f>
        <v>288.39999999999998</v>
      </c>
      <c r="J11" s="10">
        <f>Premissas!$B$3</f>
        <v>6</v>
      </c>
      <c r="K11" s="12">
        <f t="shared" si="0"/>
        <v>48.07</v>
      </c>
      <c r="L11" s="10" t="s">
        <v>73</v>
      </c>
      <c r="M11" s="11">
        <v>435.72</v>
      </c>
      <c r="N11" s="11">
        <v>338.12</v>
      </c>
      <c r="O11" s="11">
        <v>348.58</v>
      </c>
      <c r="P11" s="13">
        <v>6</v>
      </c>
      <c r="Q11" s="12">
        <f t="shared" si="1"/>
        <v>58.1</v>
      </c>
      <c r="R11" s="14">
        <f t="shared" si="2"/>
        <v>0.22399706233360883</v>
      </c>
      <c r="S11" s="14">
        <f t="shared" si="3"/>
        <v>0.19999081979252742</v>
      </c>
      <c r="T11" s="14">
        <f t="shared" si="4"/>
        <v>-0.14704838518869046</v>
      </c>
      <c r="U11" s="14">
        <f t="shared" si="5"/>
        <v>-0.17264329565666425</v>
      </c>
      <c r="V11" s="14">
        <f t="shared" si="6"/>
        <v>-0.17263339070567985</v>
      </c>
      <c r="W11" s="10" t="str">
        <f>IF(T11="","Sem dado",IF(T11&gt;Premissas!$B$4,"Caro",IF(T11&lt;-Premissas!$B$4,"Competitivo","Na média")))</f>
        <v>Competitivo</v>
      </c>
    </row>
    <row r="12" spans="1:23" x14ac:dyDescent="0.25">
      <c r="A12" s="10">
        <v>2</v>
      </c>
      <c r="B12" s="10" t="s">
        <v>53</v>
      </c>
      <c r="C12" s="10" t="s">
        <v>54</v>
      </c>
      <c r="D12" s="10">
        <v>1452</v>
      </c>
      <c r="E12" s="10" t="s">
        <v>10</v>
      </c>
      <c r="F12" s="10" t="s">
        <v>22</v>
      </c>
      <c r="G12" s="11">
        <v>423.06</v>
      </c>
      <c r="H12" s="12">
        <f>ROUND(G12*(1-Premissas!$B$2),2)</f>
        <v>397.68</v>
      </c>
      <c r="I12" s="12">
        <f>ROUND(G12*(1-Premissas!$B$6),2)</f>
        <v>397.68</v>
      </c>
      <c r="J12" s="10">
        <f>Premissas!$B$3</f>
        <v>6</v>
      </c>
      <c r="K12" s="12">
        <f t="shared" si="0"/>
        <v>66.28</v>
      </c>
      <c r="L12" s="10" t="s">
        <v>74</v>
      </c>
      <c r="M12" s="11">
        <v>583.62</v>
      </c>
      <c r="N12" s="11">
        <v>452.89</v>
      </c>
      <c r="O12" s="11">
        <v>466.9</v>
      </c>
      <c r="P12" s="13">
        <v>6</v>
      </c>
      <c r="Q12" s="12">
        <f t="shared" si="1"/>
        <v>77.819999999999993</v>
      </c>
      <c r="R12" s="14">
        <f t="shared" si="2"/>
        <v>0.22399849216956247</v>
      </c>
      <c r="S12" s="14">
        <f t="shared" si="3"/>
        <v>0.19999314622528364</v>
      </c>
      <c r="T12" s="14">
        <f t="shared" si="4"/>
        <v>-0.12190598158493227</v>
      </c>
      <c r="U12" s="14">
        <f t="shared" si="5"/>
        <v>-0.14825444420646816</v>
      </c>
      <c r="V12" s="14">
        <f t="shared" si="6"/>
        <v>-0.1482909277820611</v>
      </c>
      <c r="W12" s="10" t="str">
        <f>IF(T12="","Sem dado",IF(T12&gt;Premissas!$B$4,"Caro",IF(T12&lt;-Premissas!$B$4,"Competitivo","Na média")))</f>
        <v>Competitivo</v>
      </c>
    </row>
    <row r="13" spans="1:23" x14ac:dyDescent="0.25">
      <c r="A13" s="10">
        <v>3</v>
      </c>
      <c r="B13" s="10" t="s">
        <v>56</v>
      </c>
      <c r="C13" s="10" t="s">
        <v>57</v>
      </c>
      <c r="D13" s="10">
        <v>923983</v>
      </c>
      <c r="E13" s="10" t="s">
        <v>10</v>
      </c>
      <c r="F13" s="10" t="s">
        <v>22</v>
      </c>
      <c r="G13" s="11">
        <v>619.29</v>
      </c>
      <c r="H13" s="12">
        <f>ROUND(G13*(1-Premissas!$B$2),2)</f>
        <v>582.13</v>
      </c>
      <c r="I13" s="12">
        <f>ROUND(G13*(1-Premissas!$B$6),2)</f>
        <v>582.13</v>
      </c>
      <c r="J13" s="10">
        <f>Premissas!$B$3</f>
        <v>6</v>
      </c>
      <c r="K13" s="12">
        <f t="shared" si="0"/>
        <v>97.02</v>
      </c>
      <c r="L13" s="10" t="s">
        <v>76</v>
      </c>
      <c r="M13" s="11">
        <v>847.48</v>
      </c>
      <c r="N13" s="11">
        <v>657.64</v>
      </c>
      <c r="O13" s="11">
        <v>677.98</v>
      </c>
      <c r="P13" s="13">
        <v>6</v>
      </c>
      <c r="Q13" s="12">
        <f t="shared" si="1"/>
        <v>113</v>
      </c>
      <c r="R13" s="14">
        <f t="shared" si="2"/>
        <v>0.2240052862604428</v>
      </c>
      <c r="S13" s="14">
        <f t="shared" si="3"/>
        <v>0.20000471987539525</v>
      </c>
      <c r="T13" s="14">
        <f t="shared" si="4"/>
        <v>-0.11481965817164408</v>
      </c>
      <c r="U13" s="14">
        <f t="shared" si="5"/>
        <v>-0.1413758517950382</v>
      </c>
      <c r="V13" s="14">
        <f t="shared" si="6"/>
        <v>-0.14141592920353985</v>
      </c>
      <c r="W13" s="10" t="str">
        <f>IF(T13="","Sem dado",IF(T13&gt;Premissas!$B$4,"Caro",IF(T13&lt;-Premissas!$B$4,"Competitivo","Na média")))</f>
        <v>Competitivo</v>
      </c>
    </row>
    <row r="14" spans="1:23" x14ac:dyDescent="0.25">
      <c r="A14" s="10">
        <v>4</v>
      </c>
      <c r="B14" s="10" t="s">
        <v>50</v>
      </c>
      <c r="C14" s="10" t="s">
        <v>59</v>
      </c>
      <c r="D14" s="10">
        <v>923865</v>
      </c>
      <c r="E14" s="10" t="s">
        <v>10</v>
      </c>
      <c r="F14" s="10" t="s">
        <v>22</v>
      </c>
      <c r="G14" s="11">
        <v>353.31</v>
      </c>
      <c r="H14" s="12">
        <f>ROUND(G14*(1-Premissas!$B$2),2)</f>
        <v>332.11</v>
      </c>
      <c r="I14" s="12">
        <f>ROUND(G14*(1-Premissas!$B$6),2)</f>
        <v>332.11</v>
      </c>
      <c r="J14" s="10">
        <f>Premissas!$B$3</f>
        <v>6</v>
      </c>
      <c r="K14" s="12">
        <f t="shared" si="0"/>
        <v>55.35</v>
      </c>
      <c r="L14" s="10" t="s">
        <v>77</v>
      </c>
      <c r="M14" s="11">
        <v>484.64</v>
      </c>
      <c r="N14" s="11">
        <v>376.08</v>
      </c>
      <c r="O14" s="11">
        <v>387.71</v>
      </c>
      <c r="P14" s="13">
        <v>6</v>
      </c>
      <c r="Q14" s="12">
        <f t="shared" si="1"/>
        <v>64.62</v>
      </c>
      <c r="R14" s="14">
        <f t="shared" si="2"/>
        <v>0.22400132056784416</v>
      </c>
      <c r="S14" s="14">
        <f t="shared" si="3"/>
        <v>0.20000412677451307</v>
      </c>
      <c r="T14" s="14">
        <f t="shared" si="4"/>
        <v>-0.11691661348649218</v>
      </c>
      <c r="U14" s="14">
        <f t="shared" si="5"/>
        <v>-0.14340615408423818</v>
      </c>
      <c r="V14" s="14">
        <f t="shared" si="6"/>
        <v>-0.14345403899721454</v>
      </c>
      <c r="W14" s="10" t="str">
        <f>IF(T14="","Sem dado",IF(T14&gt;Premissas!$B$4,"Caro",IF(T14&lt;-Premissas!$B$4,"Competitivo","Na média")))</f>
        <v>Competitivo</v>
      </c>
    </row>
    <row r="15" spans="1:23" x14ac:dyDescent="0.25">
      <c r="A15" s="10">
        <v>5</v>
      </c>
      <c r="B15" s="10" t="s">
        <v>61</v>
      </c>
      <c r="C15" s="10" t="s">
        <v>62</v>
      </c>
      <c r="D15" s="10">
        <v>924049</v>
      </c>
      <c r="E15" s="10" t="s">
        <v>10</v>
      </c>
      <c r="F15" s="10" t="s">
        <v>22</v>
      </c>
      <c r="G15" s="11">
        <v>297.51</v>
      </c>
      <c r="H15" s="12">
        <f>ROUND(G15*(1-Premissas!$B$2),2)</f>
        <v>279.66000000000003</v>
      </c>
      <c r="I15" s="12">
        <f>ROUND(G15*(1-Premissas!$B$6),2)</f>
        <v>279.66000000000003</v>
      </c>
      <c r="J15" s="10">
        <f>Premissas!$B$3</f>
        <v>6</v>
      </c>
      <c r="K15" s="12">
        <f t="shared" si="0"/>
        <v>46.61</v>
      </c>
      <c r="L15" s="10" t="s">
        <v>78</v>
      </c>
      <c r="M15" s="11">
        <v>405.85</v>
      </c>
      <c r="N15" s="11">
        <v>314.94</v>
      </c>
      <c r="O15" s="11">
        <v>324.68</v>
      </c>
      <c r="P15" s="13">
        <v>6</v>
      </c>
      <c r="Q15" s="12">
        <f t="shared" si="1"/>
        <v>54.11</v>
      </c>
      <c r="R15" s="14">
        <f t="shared" si="2"/>
        <v>0.22399901441419245</v>
      </c>
      <c r="S15" s="14">
        <f t="shared" si="3"/>
        <v>0.20000000000000007</v>
      </c>
      <c r="T15" s="14">
        <f t="shared" si="4"/>
        <v>-0.11202133739759945</v>
      </c>
      <c r="U15" s="14">
        <f t="shared" si="5"/>
        <v>-0.13865960330171234</v>
      </c>
      <c r="V15" s="14">
        <f t="shared" si="6"/>
        <v>-0.13860654222879321</v>
      </c>
      <c r="W15" s="10" t="str">
        <f>IF(T15="","Sem dado",IF(T15&gt;Premissas!$B$4,"Caro",IF(T15&lt;-Premissas!$B$4,"Competitivo","Na média")))</f>
        <v>Competitivo</v>
      </c>
    </row>
    <row r="16" spans="1:23" x14ac:dyDescent="0.25">
      <c r="A16" s="10">
        <v>6</v>
      </c>
      <c r="B16" s="10" t="s">
        <v>64</v>
      </c>
      <c r="C16" s="10" t="s">
        <v>54</v>
      </c>
      <c r="D16" s="10">
        <v>1445</v>
      </c>
      <c r="E16" s="10" t="s">
        <v>10</v>
      </c>
      <c r="F16" s="10" t="s">
        <v>22</v>
      </c>
      <c r="G16" s="11">
        <v>433.29</v>
      </c>
      <c r="H16" s="12">
        <f>ROUND(G16*(1-Premissas!$B$2),2)</f>
        <v>407.29</v>
      </c>
      <c r="I16" s="12">
        <f>ROUND(G16*(1-Premissas!$B$6),2)</f>
        <v>407.29</v>
      </c>
      <c r="J16" s="10">
        <f>Premissas!$B$3</f>
        <v>6</v>
      </c>
      <c r="K16" s="12">
        <f t="shared" si="0"/>
        <v>67.88</v>
      </c>
      <c r="L16" s="10" t="s">
        <v>79</v>
      </c>
      <c r="M16" s="11">
        <v>597.91999999999996</v>
      </c>
      <c r="N16" s="11">
        <v>463.99</v>
      </c>
      <c r="O16" s="11">
        <v>478.34</v>
      </c>
      <c r="P16" s="13">
        <v>6</v>
      </c>
      <c r="Q16" s="12">
        <f t="shared" si="1"/>
        <v>79.72</v>
      </c>
      <c r="R16" s="14">
        <f t="shared" si="2"/>
        <v>0.22399317634466143</v>
      </c>
      <c r="S16" s="14">
        <f t="shared" si="3"/>
        <v>0.19999331014182498</v>
      </c>
      <c r="T16" s="14">
        <f t="shared" si="4"/>
        <v>-0.12220090950235996</v>
      </c>
      <c r="U16" s="14">
        <f t="shared" si="5"/>
        <v>-0.14853451519839433</v>
      </c>
      <c r="V16" s="14">
        <f t="shared" si="6"/>
        <v>-0.14851981936778735</v>
      </c>
      <c r="W16" s="10" t="str">
        <f>IF(T16="","Sem dado",IF(T16&gt;Premissas!$B$4,"Caro",IF(T16&lt;-Premissas!$B$4,"Competitivo","Na média")))</f>
        <v>Competitivo</v>
      </c>
    </row>
    <row r="17" spans="1:23" x14ac:dyDescent="0.25">
      <c r="A17" s="10">
        <v>7</v>
      </c>
      <c r="B17" s="10" t="s">
        <v>66</v>
      </c>
      <c r="C17" s="10" t="s">
        <v>67</v>
      </c>
      <c r="D17" s="10">
        <v>923825</v>
      </c>
      <c r="E17" s="10" t="s">
        <v>10</v>
      </c>
      <c r="F17" s="10" t="s">
        <v>22</v>
      </c>
      <c r="G17" s="11">
        <v>1097.31</v>
      </c>
      <c r="H17" s="12">
        <f>ROUND(G17*(1-Premissas!$B$2),2)</f>
        <v>1031.47</v>
      </c>
      <c r="I17" s="12">
        <f>ROUND(G17*(1-Premissas!$B$6),2)</f>
        <v>1031.47</v>
      </c>
      <c r="J17" s="10">
        <f>Premissas!$B$3</f>
        <v>6</v>
      </c>
      <c r="K17" s="12">
        <f t="shared" si="0"/>
        <v>171.91</v>
      </c>
      <c r="L17" s="10" t="s">
        <v>80</v>
      </c>
      <c r="M17" s="11">
        <v>1481.73</v>
      </c>
      <c r="N17" s="11">
        <v>1149.82</v>
      </c>
      <c r="O17" s="11">
        <v>1185.3800000000001</v>
      </c>
      <c r="P17" s="13">
        <v>6</v>
      </c>
      <c r="Q17" s="12">
        <f t="shared" si="1"/>
        <v>197.56</v>
      </c>
      <c r="R17" s="14">
        <f t="shared" si="2"/>
        <v>0.22400167371923363</v>
      </c>
      <c r="S17" s="14">
        <f t="shared" si="3"/>
        <v>0.20000269954715089</v>
      </c>
      <c r="T17" s="14">
        <f t="shared" si="4"/>
        <v>-0.10292915412847226</v>
      </c>
      <c r="U17" s="14">
        <f t="shared" si="5"/>
        <v>-0.12984022001383533</v>
      </c>
      <c r="V17" s="14">
        <f t="shared" si="6"/>
        <v>-0.12983397448876288</v>
      </c>
      <c r="W17" s="10" t="str">
        <f>IF(T17="","Sem dado",IF(T17&gt;Premissas!$B$4,"Caro",IF(T17&lt;-Premissas!$B$4,"Competitivo","Na média")))</f>
        <v>Competitivo</v>
      </c>
    </row>
    <row r="18" spans="1:23" x14ac:dyDescent="0.25">
      <c r="A18" s="10">
        <v>8</v>
      </c>
      <c r="B18" s="10" t="s">
        <v>69</v>
      </c>
      <c r="C18" s="10" t="s">
        <v>57</v>
      </c>
      <c r="D18" s="10">
        <v>2081</v>
      </c>
      <c r="E18" s="10" t="s">
        <v>10</v>
      </c>
      <c r="F18" s="10" t="s">
        <v>22</v>
      </c>
      <c r="G18" s="11">
        <v>702.99</v>
      </c>
      <c r="H18" s="12">
        <f>ROUND(G18*(1-Premissas!$B$2),2)</f>
        <v>660.81</v>
      </c>
      <c r="I18" s="12">
        <f>ROUND(G18*(1-Premissas!$B$6),2)</f>
        <v>660.81</v>
      </c>
      <c r="J18" s="10">
        <f>Premissas!$B$3</f>
        <v>6</v>
      </c>
      <c r="K18" s="12">
        <f t="shared" si="0"/>
        <v>110.14</v>
      </c>
      <c r="L18" s="10" t="s">
        <v>81</v>
      </c>
      <c r="M18" s="11">
        <v>945.01</v>
      </c>
      <c r="N18" s="11">
        <v>733.33</v>
      </c>
      <c r="O18" s="11">
        <v>756.01</v>
      </c>
      <c r="P18" s="13">
        <v>6</v>
      </c>
      <c r="Q18" s="12">
        <f t="shared" si="1"/>
        <v>126</v>
      </c>
      <c r="R18" s="14">
        <f t="shared" si="2"/>
        <v>0.22399762965471259</v>
      </c>
      <c r="S18" s="14">
        <f t="shared" si="3"/>
        <v>0.19999788362027915</v>
      </c>
      <c r="T18" s="14">
        <f t="shared" si="4"/>
        <v>-9.8891358597084644E-2</v>
      </c>
      <c r="U18" s="14">
        <f t="shared" si="5"/>
        <v>-0.1259242602611077</v>
      </c>
      <c r="V18" s="14">
        <f t="shared" si="6"/>
        <v>-0.12587301587301591</v>
      </c>
      <c r="W18" s="10" t="str">
        <f>IF(T18="","Sem dado",IF(T18&gt;Premissas!$B$4,"Caro",IF(T18&lt;-Premissas!$B$4,"Competitivo","Na média")))</f>
        <v>Competitivo</v>
      </c>
    </row>
    <row r="19" spans="1:23" x14ac:dyDescent="0.25">
      <c r="A19" s="10">
        <v>9</v>
      </c>
      <c r="B19" s="10" t="s">
        <v>64</v>
      </c>
      <c r="C19" s="10" t="s">
        <v>71</v>
      </c>
      <c r="D19" s="10">
        <v>923978</v>
      </c>
      <c r="E19" s="10" t="s">
        <v>10</v>
      </c>
      <c r="F19" s="10" t="s">
        <v>22</v>
      </c>
      <c r="G19" s="11">
        <v>483.51</v>
      </c>
      <c r="H19" s="12">
        <f>ROUND(G19*(1-Premissas!$B$2),2)</f>
        <v>454.5</v>
      </c>
      <c r="I19" s="12">
        <f>ROUND(G19*(1-Premissas!$B$6),2)</f>
        <v>454.5</v>
      </c>
      <c r="J19" s="10">
        <f>Premissas!$B$3</f>
        <v>6</v>
      </c>
      <c r="K19" s="12">
        <f t="shared" si="0"/>
        <v>75.75</v>
      </c>
      <c r="L19" s="10" t="s">
        <v>82</v>
      </c>
      <c r="M19" s="11">
        <v>664.42</v>
      </c>
      <c r="N19" s="11">
        <v>515.59</v>
      </c>
      <c r="O19" s="11">
        <v>531.54</v>
      </c>
      <c r="P19" s="13">
        <v>6</v>
      </c>
      <c r="Q19" s="12">
        <f t="shared" si="1"/>
        <v>88.59</v>
      </c>
      <c r="R19" s="14">
        <f t="shared" si="2"/>
        <v>0.22399987959423251</v>
      </c>
      <c r="S19" s="14">
        <f t="shared" si="3"/>
        <v>0.19999397971162824</v>
      </c>
      <c r="T19" s="14">
        <f t="shared" si="4"/>
        <v>-0.11848561841773508</v>
      </c>
      <c r="U19" s="14">
        <f t="shared" si="5"/>
        <v>-0.14493735184558065</v>
      </c>
      <c r="V19" s="14">
        <f t="shared" si="6"/>
        <v>-0.14493735184558076</v>
      </c>
      <c r="W19" s="10" t="str">
        <f>IF(T19="","Sem dado",IF(T19&gt;Premissas!$B$4,"Caro",IF(T19&lt;-Premissas!$B$4,"Competitivo","Na média")))</f>
        <v>Competitivo</v>
      </c>
    </row>
    <row r="20" spans="1:23" x14ac:dyDescent="0.25">
      <c r="A20" s="10">
        <v>1</v>
      </c>
      <c r="B20" s="10" t="s">
        <v>50</v>
      </c>
      <c r="C20" s="10" t="s">
        <v>51</v>
      </c>
      <c r="D20" s="10">
        <v>924096</v>
      </c>
      <c r="E20" s="10" t="s">
        <v>10</v>
      </c>
      <c r="F20" s="10" t="s">
        <v>24</v>
      </c>
      <c r="G20" s="11">
        <v>306.81</v>
      </c>
      <c r="H20" s="12">
        <f>ROUND(G20*(1-Premissas!$B$2),2)</f>
        <v>288.39999999999998</v>
      </c>
      <c r="I20" s="12">
        <f>ROUND(G20*(1-Premissas!$B$6),2)</f>
        <v>288.39999999999998</v>
      </c>
      <c r="J20" s="10">
        <f>Premissas!$B$3</f>
        <v>6</v>
      </c>
      <c r="K20" s="12">
        <f t="shared" si="0"/>
        <v>48.07</v>
      </c>
      <c r="L20" s="10" t="s">
        <v>83</v>
      </c>
      <c r="M20" s="11">
        <v>351.02</v>
      </c>
      <c r="N20" s="11">
        <v>308.89999999999998</v>
      </c>
      <c r="O20" s="11">
        <v>351.02</v>
      </c>
      <c r="P20" s="13">
        <v>12</v>
      </c>
      <c r="Q20" s="12">
        <f t="shared" si="1"/>
        <v>29.25</v>
      </c>
      <c r="R20" s="14">
        <f t="shared" si="2"/>
        <v>0.11999316278274741</v>
      </c>
      <c r="S20" s="14">
        <f t="shared" si="3"/>
        <v>0</v>
      </c>
      <c r="T20" s="14">
        <f t="shared" si="4"/>
        <v>-6.6364519261897015E-2</v>
      </c>
      <c r="U20" s="14">
        <f t="shared" si="5"/>
        <v>-0.17839439348185293</v>
      </c>
      <c r="V20" s="14">
        <f t="shared" si="6"/>
        <v>0.64341880341880353</v>
      </c>
      <c r="W20" s="10" t="str">
        <f>IF(T20="","Sem dado",IF(T20&gt;Premissas!$B$4,"Caro",IF(T20&lt;-Premissas!$B$4,"Competitivo","Na média")))</f>
        <v>Competitivo</v>
      </c>
    </row>
    <row r="21" spans="1:23" x14ac:dyDescent="0.25">
      <c r="A21" s="10">
        <v>2</v>
      </c>
      <c r="B21" s="10" t="s">
        <v>53</v>
      </c>
      <c r="C21" s="10" t="s">
        <v>54</v>
      </c>
      <c r="D21" s="10">
        <v>1452</v>
      </c>
      <c r="E21" s="10" t="s">
        <v>10</v>
      </c>
      <c r="F21" s="10" t="s">
        <v>24</v>
      </c>
      <c r="G21" s="11">
        <v>423.06</v>
      </c>
      <c r="H21" s="12">
        <f>ROUND(G21*(1-Premissas!$B$2),2)</f>
        <v>397.68</v>
      </c>
      <c r="I21" s="12">
        <f>ROUND(G21*(1-Premissas!$B$6),2)</f>
        <v>397.68</v>
      </c>
      <c r="J21" s="10">
        <f>Premissas!$B$3</f>
        <v>6</v>
      </c>
      <c r="K21" s="12">
        <f t="shared" si="0"/>
        <v>66.28</v>
      </c>
      <c r="L21" s="10" t="s">
        <v>84</v>
      </c>
      <c r="M21" s="11">
        <v>447.72</v>
      </c>
      <c r="N21" s="11">
        <v>393.99</v>
      </c>
      <c r="O21" s="11">
        <v>447.72</v>
      </c>
      <c r="P21" s="13">
        <v>12</v>
      </c>
      <c r="Q21" s="12">
        <f t="shared" si="1"/>
        <v>37.31</v>
      </c>
      <c r="R21" s="14">
        <f t="shared" si="2"/>
        <v>0.12000804073974813</v>
      </c>
      <c r="S21" s="14">
        <f t="shared" si="3"/>
        <v>0</v>
      </c>
      <c r="T21" s="14">
        <f t="shared" si="4"/>
        <v>9.3657199421304238E-3</v>
      </c>
      <c r="U21" s="14">
        <f t="shared" si="5"/>
        <v>-0.11176628249798981</v>
      </c>
      <c r="V21" s="14">
        <f t="shared" si="6"/>
        <v>0.77646743500402038</v>
      </c>
      <c r="W21" s="10" t="str">
        <f>IF(T21="","Sem dado",IF(T21&gt;Premissas!$B$4,"Caro",IF(T21&lt;-Premissas!$B$4,"Competitivo","Na média")))</f>
        <v>Na média</v>
      </c>
    </row>
    <row r="22" spans="1:23" x14ac:dyDescent="0.25">
      <c r="A22" s="10">
        <v>3</v>
      </c>
      <c r="B22" s="10" t="s">
        <v>56</v>
      </c>
      <c r="C22" s="10" t="s">
        <v>57</v>
      </c>
      <c r="D22" s="10">
        <v>923983</v>
      </c>
      <c r="E22" s="10" t="s">
        <v>10</v>
      </c>
      <c r="F22" s="10" t="s">
        <v>24</v>
      </c>
      <c r="G22" s="11">
        <v>619.29</v>
      </c>
      <c r="H22" s="12">
        <f>ROUND(G22*(1-Premissas!$B$2),2)</f>
        <v>582.13</v>
      </c>
      <c r="I22" s="12">
        <f>ROUND(G22*(1-Premissas!$B$6),2)</f>
        <v>582.13</v>
      </c>
      <c r="J22" s="10">
        <f>Premissas!$B$3</f>
        <v>6</v>
      </c>
      <c r="K22" s="12">
        <f t="shared" si="0"/>
        <v>97.02</v>
      </c>
      <c r="L22" s="10" t="s">
        <v>85</v>
      </c>
      <c r="M22" s="11">
        <v>724.99</v>
      </c>
      <c r="N22" s="11">
        <v>637.99</v>
      </c>
      <c r="O22" s="11">
        <v>724.99</v>
      </c>
      <c r="P22" s="13">
        <v>12</v>
      </c>
      <c r="Q22" s="12">
        <f t="shared" si="1"/>
        <v>60.42</v>
      </c>
      <c r="R22" s="14">
        <f t="shared" si="2"/>
        <v>0.12000165519524408</v>
      </c>
      <c r="S22" s="14">
        <f t="shared" si="3"/>
        <v>0</v>
      </c>
      <c r="T22" s="14">
        <f t="shared" si="4"/>
        <v>-8.7556231288891673E-2</v>
      </c>
      <c r="U22" s="14">
        <f t="shared" si="5"/>
        <v>-0.19705099380681113</v>
      </c>
      <c r="V22" s="14">
        <f t="shared" si="6"/>
        <v>0.60575968222442889</v>
      </c>
      <c r="W22" s="10" t="str">
        <f>IF(T22="","Sem dado",IF(T22&gt;Premissas!$B$4,"Caro",IF(T22&lt;-Premissas!$B$4,"Competitivo","Na média")))</f>
        <v>Competitivo</v>
      </c>
    </row>
    <row r="23" spans="1:23" x14ac:dyDescent="0.25">
      <c r="A23" s="10">
        <v>4</v>
      </c>
      <c r="B23" s="10" t="s">
        <v>50</v>
      </c>
      <c r="C23" s="10" t="s">
        <v>59</v>
      </c>
      <c r="D23" s="10">
        <v>923865</v>
      </c>
      <c r="E23" s="10" t="s">
        <v>10</v>
      </c>
      <c r="F23" s="10" t="s">
        <v>24</v>
      </c>
      <c r="G23" s="11">
        <v>353.31</v>
      </c>
      <c r="H23" s="12">
        <f>ROUND(G23*(1-Premissas!$B$2),2)</f>
        <v>332.11</v>
      </c>
      <c r="I23" s="12">
        <f>ROUND(G23*(1-Premissas!$B$6),2)</f>
        <v>332.11</v>
      </c>
      <c r="J23" s="10">
        <f>Premissas!$B$3</f>
        <v>6</v>
      </c>
      <c r="K23" s="12">
        <f t="shared" si="0"/>
        <v>55.35</v>
      </c>
      <c r="L23" s="10" t="s">
        <v>86</v>
      </c>
      <c r="M23" s="11">
        <v>395.44</v>
      </c>
      <c r="N23" s="11">
        <v>347.99</v>
      </c>
      <c r="O23" s="11">
        <v>395.44</v>
      </c>
      <c r="P23" s="13">
        <v>12</v>
      </c>
      <c r="Q23" s="12">
        <f t="shared" si="1"/>
        <v>32.950000000000003</v>
      </c>
      <c r="R23" s="14">
        <f t="shared" si="2"/>
        <v>0.11999291927978961</v>
      </c>
      <c r="S23" s="14">
        <f t="shared" si="3"/>
        <v>0</v>
      </c>
      <c r="T23" s="14">
        <f t="shared" si="4"/>
        <v>-4.5633495215379738E-2</v>
      </c>
      <c r="U23" s="14">
        <f t="shared" si="5"/>
        <v>-0.16015071818733562</v>
      </c>
      <c r="V23" s="14">
        <f t="shared" si="6"/>
        <v>0.67981790591805757</v>
      </c>
      <c r="W23" s="10" t="str">
        <f>IF(T23="","Sem dado",IF(T23&gt;Premissas!$B$4,"Caro",IF(T23&lt;-Premissas!$B$4,"Competitivo","Na média")))</f>
        <v>Na média</v>
      </c>
    </row>
    <row r="24" spans="1:23" x14ac:dyDescent="0.25">
      <c r="A24" s="10">
        <v>5</v>
      </c>
      <c r="B24" s="10" t="s">
        <v>61</v>
      </c>
      <c r="C24" s="10" t="s">
        <v>62</v>
      </c>
      <c r="D24" s="10">
        <v>924049</v>
      </c>
      <c r="E24" s="10" t="s">
        <v>10</v>
      </c>
      <c r="F24" s="10" t="s">
        <v>24</v>
      </c>
      <c r="G24" s="11">
        <v>297.51</v>
      </c>
      <c r="H24" s="12">
        <f>ROUND(G24*(1-Premissas!$B$2),2)</f>
        <v>279.66000000000003</v>
      </c>
      <c r="I24" s="12">
        <f>ROUND(G24*(1-Premissas!$B$6),2)</f>
        <v>279.66000000000003</v>
      </c>
      <c r="J24" s="10">
        <f>Premissas!$B$3</f>
        <v>6</v>
      </c>
      <c r="K24" s="12">
        <f t="shared" si="0"/>
        <v>46.61</v>
      </c>
      <c r="L24" s="10" t="s">
        <v>87</v>
      </c>
      <c r="M24" s="11">
        <v>338.63</v>
      </c>
      <c r="N24" s="11">
        <v>297.99</v>
      </c>
      <c r="O24" s="11">
        <v>338.63</v>
      </c>
      <c r="P24" s="13">
        <v>12</v>
      </c>
      <c r="Q24" s="12">
        <f t="shared" si="1"/>
        <v>28.22</v>
      </c>
      <c r="R24" s="14">
        <f t="shared" si="2"/>
        <v>0.12001299353276429</v>
      </c>
      <c r="S24" s="14">
        <f t="shared" si="3"/>
        <v>0</v>
      </c>
      <c r="T24" s="14">
        <f t="shared" si="4"/>
        <v>-6.1512131279573112E-2</v>
      </c>
      <c r="U24" s="14">
        <f t="shared" si="5"/>
        <v>-0.17414286979889548</v>
      </c>
      <c r="V24" s="14">
        <f t="shared" si="6"/>
        <v>0.6516654854712971</v>
      </c>
      <c r="W24" s="10" t="str">
        <f>IF(T24="","Sem dado",IF(T24&gt;Premissas!$B$4,"Caro",IF(T24&lt;-Premissas!$B$4,"Competitivo","Na média")))</f>
        <v>Competitivo</v>
      </c>
    </row>
    <row r="25" spans="1:23" x14ac:dyDescent="0.25">
      <c r="A25" s="10">
        <v>6</v>
      </c>
      <c r="B25" s="10" t="s">
        <v>64</v>
      </c>
      <c r="C25" s="10" t="s">
        <v>54</v>
      </c>
      <c r="D25" s="10">
        <v>1445</v>
      </c>
      <c r="E25" s="10" t="s">
        <v>10</v>
      </c>
      <c r="F25" s="10" t="s">
        <v>24</v>
      </c>
      <c r="G25" s="11">
        <v>433.29</v>
      </c>
      <c r="H25" s="12">
        <f>ROUND(G25*(1-Premissas!$B$2),2)</f>
        <v>407.29</v>
      </c>
      <c r="I25" s="12">
        <f>ROUND(G25*(1-Premissas!$B$6),2)</f>
        <v>407.29</v>
      </c>
      <c r="J25" s="10">
        <f>Premissas!$B$3</f>
        <v>6</v>
      </c>
      <c r="K25" s="12">
        <f t="shared" si="0"/>
        <v>67.88</v>
      </c>
      <c r="L25" s="10" t="s">
        <v>89</v>
      </c>
      <c r="M25" s="11">
        <v>476.13</v>
      </c>
      <c r="N25" s="11">
        <v>418.99</v>
      </c>
      <c r="O25" s="11">
        <v>476.13</v>
      </c>
      <c r="P25" s="13">
        <v>12</v>
      </c>
      <c r="Q25" s="12">
        <f t="shared" si="1"/>
        <v>39.68</v>
      </c>
      <c r="R25" s="14">
        <f t="shared" si="2"/>
        <v>0.12000924117362899</v>
      </c>
      <c r="S25" s="14">
        <f t="shared" si="3"/>
        <v>0</v>
      </c>
      <c r="T25" s="14">
        <f t="shared" si="4"/>
        <v>-2.7924294135898253E-2</v>
      </c>
      <c r="U25" s="14">
        <f t="shared" si="5"/>
        <v>-0.14458236195996887</v>
      </c>
      <c r="V25" s="14">
        <f t="shared" si="6"/>
        <v>0.71068548387096775</v>
      </c>
      <c r="W25" s="10" t="str">
        <f>IF(T25="","Sem dado",IF(T25&gt;Premissas!$B$4,"Caro",IF(T25&lt;-Premissas!$B$4,"Competitivo","Na média")))</f>
        <v>Na média</v>
      </c>
    </row>
    <row r="26" spans="1:23" x14ac:dyDescent="0.25">
      <c r="A26" s="10">
        <v>7</v>
      </c>
      <c r="B26" s="10" t="s">
        <v>66</v>
      </c>
      <c r="C26" s="10" t="s">
        <v>67</v>
      </c>
      <c r="D26" s="10">
        <v>923825</v>
      </c>
      <c r="E26" s="10" t="s">
        <v>10</v>
      </c>
      <c r="F26" s="10" t="s">
        <v>24</v>
      </c>
      <c r="G26" s="11">
        <v>1097.31</v>
      </c>
      <c r="H26" s="12">
        <f>ROUND(G26*(1-Premissas!$B$2),2)</f>
        <v>1031.47</v>
      </c>
      <c r="I26" s="12">
        <f>ROUND(G26*(1-Premissas!$B$6),2)</f>
        <v>1031.47</v>
      </c>
      <c r="J26" s="10">
        <f>Premissas!$B$3</f>
        <v>6</v>
      </c>
      <c r="K26" s="12">
        <f t="shared" si="0"/>
        <v>171.91</v>
      </c>
      <c r="L26" s="10" t="s">
        <v>90</v>
      </c>
      <c r="M26" s="11">
        <v>1226.1400000000001</v>
      </c>
      <c r="N26" s="11">
        <v>1079</v>
      </c>
      <c r="O26" s="11">
        <v>1226.1400000000001</v>
      </c>
      <c r="P26" s="13">
        <v>12</v>
      </c>
      <c r="Q26" s="12">
        <f t="shared" si="1"/>
        <v>102.18</v>
      </c>
      <c r="R26" s="14">
        <f t="shared" si="2"/>
        <v>0.12000260981617117</v>
      </c>
      <c r="S26" s="14">
        <f t="shared" si="3"/>
        <v>0</v>
      </c>
      <c r="T26" s="14">
        <f t="shared" si="4"/>
        <v>-4.4050046339202953E-2</v>
      </c>
      <c r="U26" s="14">
        <f t="shared" si="5"/>
        <v>-0.15876653563214649</v>
      </c>
      <c r="V26" s="14">
        <f t="shared" si="6"/>
        <v>0.68242317478958681</v>
      </c>
      <c r="W26" s="10" t="str">
        <f>IF(T26="","Sem dado",IF(T26&gt;Premissas!$B$4,"Caro",IF(T26&lt;-Premissas!$B$4,"Competitivo","Na média")))</f>
        <v>Na média</v>
      </c>
    </row>
    <row r="27" spans="1:23" x14ac:dyDescent="0.25">
      <c r="A27" s="10">
        <v>8</v>
      </c>
      <c r="B27" s="10" t="s">
        <v>69</v>
      </c>
      <c r="C27" s="10" t="s">
        <v>57</v>
      </c>
      <c r="D27" s="10">
        <v>2081</v>
      </c>
      <c r="E27" s="10" t="s">
        <v>10</v>
      </c>
      <c r="F27" s="10" t="s">
        <v>24</v>
      </c>
      <c r="G27" s="11">
        <v>702.99</v>
      </c>
      <c r="H27" s="12">
        <f>ROUND(G27*(1-Premissas!$B$2),2)</f>
        <v>660.81</v>
      </c>
      <c r="I27" s="12">
        <f>ROUND(G27*(1-Premissas!$B$6),2)</f>
        <v>660.81</v>
      </c>
      <c r="J27" s="10">
        <f>Premissas!$B$3</f>
        <v>6</v>
      </c>
      <c r="K27" s="12">
        <f t="shared" si="0"/>
        <v>110.14</v>
      </c>
      <c r="L27" s="10" t="s">
        <v>91</v>
      </c>
      <c r="M27" s="11">
        <v>724.99</v>
      </c>
      <c r="N27" s="11">
        <v>637.99</v>
      </c>
      <c r="O27" s="11">
        <v>724.99</v>
      </c>
      <c r="P27" s="13">
        <v>12</v>
      </c>
      <c r="Q27" s="12">
        <f t="shared" si="1"/>
        <v>60.42</v>
      </c>
      <c r="R27" s="14">
        <f t="shared" si="2"/>
        <v>0.12000165519524408</v>
      </c>
      <c r="S27" s="14">
        <f t="shared" si="3"/>
        <v>0</v>
      </c>
      <c r="T27" s="14">
        <f t="shared" si="4"/>
        <v>3.5768585714509582E-2</v>
      </c>
      <c r="U27" s="14">
        <f t="shared" si="5"/>
        <v>-8.8525358970468648E-2</v>
      </c>
      <c r="V27" s="14">
        <f t="shared" si="6"/>
        <v>0.82290632240979811</v>
      </c>
      <c r="W27" s="10" t="str">
        <f>IF(T27="","Sem dado",IF(T27&gt;Premissas!$B$4,"Caro",IF(T27&lt;-Premissas!$B$4,"Competitivo","Na média")))</f>
        <v>Na média</v>
      </c>
    </row>
    <row r="28" spans="1:23" x14ac:dyDescent="0.25">
      <c r="A28" s="10">
        <v>9</v>
      </c>
      <c r="B28" s="10" t="s">
        <v>64</v>
      </c>
      <c r="C28" s="10" t="s">
        <v>71</v>
      </c>
      <c r="D28" s="10">
        <v>923978</v>
      </c>
      <c r="E28" s="10" t="s">
        <v>10</v>
      </c>
      <c r="F28" s="10" t="s">
        <v>24</v>
      </c>
      <c r="G28" s="11">
        <v>483.51</v>
      </c>
      <c r="H28" s="12">
        <f>ROUND(G28*(1-Premissas!$B$2),2)</f>
        <v>454.5</v>
      </c>
      <c r="I28" s="12">
        <f>ROUND(G28*(1-Premissas!$B$6),2)</f>
        <v>454.5</v>
      </c>
      <c r="J28" s="10">
        <f>Premissas!$B$3</f>
        <v>6</v>
      </c>
      <c r="K28" s="12">
        <f t="shared" si="0"/>
        <v>75.75</v>
      </c>
      <c r="L28" s="10" t="s">
        <v>92</v>
      </c>
      <c r="M28" s="11">
        <v>543.16999999999996</v>
      </c>
      <c r="N28" s="11">
        <v>477.99</v>
      </c>
      <c r="O28" s="11">
        <v>543.16999999999996</v>
      </c>
      <c r="P28" s="13">
        <v>12</v>
      </c>
      <c r="Q28" s="12">
        <f t="shared" si="1"/>
        <v>45.26</v>
      </c>
      <c r="R28" s="14">
        <f t="shared" si="2"/>
        <v>0.11999926358230384</v>
      </c>
      <c r="S28" s="14">
        <f t="shared" si="3"/>
        <v>0</v>
      </c>
      <c r="T28" s="14">
        <f t="shared" si="4"/>
        <v>-4.9143287516475231E-2</v>
      </c>
      <c r="U28" s="14">
        <f t="shared" si="5"/>
        <v>-0.16324539278678862</v>
      </c>
      <c r="V28" s="14">
        <f t="shared" si="6"/>
        <v>0.67366327883340715</v>
      </c>
      <c r="W28" s="10" t="str">
        <f>IF(T28="","Sem dado",IF(T28&gt;Premissas!$B$4,"Caro",IF(T28&lt;-Premissas!$B$4,"Competitivo","Na média")))</f>
        <v>Na média</v>
      </c>
    </row>
  </sheetData>
  <autoFilter ref="A1:W28" xr:uid="{00000000-0001-0000-05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Premissas</vt:lpstr>
      <vt:lpstr>Politicas_Pagamento</vt:lpstr>
      <vt:lpstr>PneuStore</vt:lpstr>
      <vt:lpstr>HC_Pneus</vt:lpstr>
      <vt:lpstr>Achei_Pneus</vt:lpstr>
      <vt:lpstr>Base_Consolidada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Cruz</cp:lastModifiedBy>
  <cp:revision>0</cp:revision>
  <dcterms:created xsi:type="dcterms:W3CDTF">2026-09-23T20:25:40Z</dcterms:created>
  <dcterms:modified xsi:type="dcterms:W3CDTF">2026-09-24T16:57:38Z</dcterms:modified>
  <dc:language>en-US</dc:language>
</cp:coreProperties>
</file>